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KOTO PC\kadai\"/>
    </mc:Choice>
  </mc:AlternateContent>
  <xr:revisionPtr revIDLastSave="0" documentId="13_ncr:1_{8C66F39E-0781-435E-97E6-90391F254377}" xr6:coauthVersionLast="46" xr6:coauthVersionMax="46" xr10:uidLastSave="{00000000-0000-0000-0000-000000000000}"/>
  <bookViews>
    <workbookView xWindow="9360" yWindow="4368" windowWidth="23040" windowHeight="6204" xr2:uid="{DA0AD9B2-A6D3-41F6-8AC8-57D34F56B4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H14" i="1"/>
  <c r="G14" i="1"/>
  <c r="F14" i="1"/>
  <c r="E14" i="1"/>
  <c r="D14" i="1"/>
  <c r="I9" i="1"/>
  <c r="I7" i="1"/>
  <c r="I4" i="1"/>
  <c r="I3" i="1"/>
  <c r="I8" i="1"/>
  <c r="I5" i="1"/>
  <c r="I6" i="1"/>
  <c r="I14" i="1" l="1"/>
  <c r="J6" i="1"/>
  <c r="J8" i="1"/>
  <c r="J4" i="1"/>
  <c r="J9" i="1"/>
  <c r="J5" i="1"/>
  <c r="J3" i="1"/>
  <c r="J7" i="1"/>
  <c r="J14" i="1" l="1"/>
</calcChain>
</file>

<file path=xl/sharedStrings.xml><?xml version="1.0" encoding="utf-8"?>
<sst xmlns="http://schemas.openxmlformats.org/spreadsheetml/2006/main" count="27" uniqueCount="17">
  <si>
    <t>氏名</t>
    <rPh sb="0" eb="2">
      <t>シメイ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</si>
  <si>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</si>
  <si>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</si>
  <si>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</si>
  <si>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</si>
  <si>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</si>
  <si>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</si>
  <si>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鈴木幸助</t>
    <rPh sb="0" eb="2">
      <t>スズキ</t>
    </rPh>
    <rPh sb="2" eb="4">
      <t>コウスケ</t>
    </rPh>
    <phoneticPr fontId="1"/>
  </si>
  <si>
    <t>鈴木孝則</t>
    <rPh sb="0" eb="4">
      <t>スズキタカノリ</t>
    </rPh>
    <phoneticPr fontId="1"/>
  </si>
  <si>
    <t>鈴木翔太</t>
    <rPh sb="0" eb="2">
      <t>スズキ</t>
    </rPh>
    <rPh sb="2" eb="4">
      <t>ショウタ</t>
    </rPh>
    <phoneticPr fontId="1"/>
  </si>
  <si>
    <t>鈴木博文</t>
    <rPh sb="0" eb="2">
      <t>スズキ</t>
    </rPh>
    <rPh sb="2" eb="4">
      <t>ヒロフミ</t>
    </rPh>
    <phoneticPr fontId="1"/>
  </si>
  <si>
    <t>鈴木辰木</t>
    <rPh sb="0" eb="2">
      <t>スズキ</t>
    </rPh>
    <rPh sb="2" eb="4">
      <t>タツキ</t>
    </rPh>
    <phoneticPr fontId="1"/>
  </si>
  <si>
    <t>鈴木エミリー</t>
    <rPh sb="0" eb="2">
      <t>スズキ</t>
    </rPh>
    <phoneticPr fontId="1"/>
  </si>
  <si>
    <t>合計</t>
    <rPh sb="0" eb="2">
      <t>ゴウケイ</t>
    </rPh>
    <phoneticPr fontId="1"/>
  </si>
  <si>
    <t>順位</t>
    <rPh sb="0" eb="2">
      <t>ジュンイ</t>
    </rPh>
    <phoneticPr fontId="1"/>
  </si>
  <si>
    <t>鈴木海斗</t>
    <rPh sb="0" eb="4">
      <t>スズキカイト</t>
    </rPh>
    <phoneticPr fontId="1"/>
  </si>
  <si>
    <t>月別契約数</t>
    <rPh sb="0" eb="5">
      <t>ツキベツケイヤクスウ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</si>
</sst>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theme="1"/>
      <name val="HGP創英角ｺﾞｼｯｸUB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0" xfId="0" applyAlignment="1">
      <alignment horizontal="center" vertical="center"/>
    </xf>
    <xf numFmtId="179" fontId="0" fillId="0" borderId="7" xfId="0" applyNumberFormat="1" applyBorder="1">
      <alignment vertical="center"/>
    </xf>
    <xf numFmtId="179" fontId="0" fillId="0" borderId="8" xfId="0" applyNumberFormat="1" applyBorder="1">
      <alignment vertical="center"/>
    </xf>
    <xf numFmtId="179" fontId="0" fillId="0" borderId="3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2" borderId="12" xfId="0" applyFill="1" applyBorder="1">
      <alignment vertical="center"/>
    </xf>
    <xf numFmtId="179" fontId="0" fillId="0" borderId="13" xfId="0" applyNumberFormat="1" applyBorder="1">
      <alignment vertical="center"/>
    </xf>
    <xf numFmtId="179" fontId="0" fillId="0" borderId="14" xfId="0" applyNumberFormat="1" applyBorder="1">
      <alignment vertical="center"/>
    </xf>
    <xf numFmtId="0" fontId="0" fillId="2" borderId="15" xfId="0" applyFill="1" applyBorder="1">
      <alignment vertical="center"/>
    </xf>
    <xf numFmtId="179" fontId="0" fillId="0" borderId="17" xfId="0" applyNumberFormat="1" applyBorder="1">
      <alignment vertical="center"/>
    </xf>
    <xf numFmtId="0" fontId="0" fillId="0" borderId="18" xfId="0" applyBorder="1">
      <alignment vertical="center"/>
    </xf>
    <xf numFmtId="179" fontId="0" fillId="0" borderId="16" xfId="0" applyNumberFormat="1" applyBorder="1">
      <alignment vertical="center"/>
    </xf>
    <xf numFmtId="0" fontId="0" fillId="0" borderId="19" xfId="0" applyBorder="1">
      <alignment vertical="center"/>
    </xf>
    <xf numFmtId="179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179" fontId="0" fillId="0" borderId="22" xfId="0" applyNumberFormat="1" applyBorder="1">
      <alignment vertical="center"/>
    </xf>
    <xf numFmtId="179" fontId="0" fillId="0" borderId="23" xfId="0" applyNumberFormat="1" applyBorder="1">
      <alignment vertical="center"/>
    </xf>
    <xf numFmtId="179" fontId="0" fillId="0" borderId="24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15" xfId="0" applyBorder="1">
      <alignment vertical="center"/>
    </xf>
    <xf numFmtId="0" fontId="2" fillId="0" borderId="0" xfId="0" applyFont="1" applyAlignment="1">
      <alignment horizontal="center" vertical="center"/>
    </xf>
    <xf numFmtId="0" fontId="2" fillId="0" borderId="26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160020</xdr:rowOff>
        </xdr:from>
        <xdr:to>
          <xdr:col>4</xdr:col>
          <xdr:colOff>297180</xdr:colOff>
          <xdr:row>17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五十音順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220980</xdr:colOff>
          <xdr:row>15</xdr:row>
          <xdr:rowOff>30480</xdr:rowOff>
        </xdr:from>
        <xdr:to>
          <xdr:col>10</xdr:col>
          <xdr:colOff>152400</xdr:colOff>
          <xdr:row>17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業績順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4F999-6CB7-465D-B38B-548130D717EB}">
  <sheetPr codeName="Sheet1"/>
  <dimension ref="B1:V14"/>
  <sheetViews>
    <sheetView tabSelected="1" workbookViewId="0">
      <selection activeCell="M8" sqref="M8"/>
    </sheetView>
  </sheetViews>
  <sheetFormatPr defaultRowHeight="18" x14ac:dyDescent="0.45"/>
  <cols>
    <col min="2" max="2" width="12.3984375" bestFit="1" customWidth="1"/>
    <col min="3" max="3" width="6.3984375" bestFit="1" customWidth="1"/>
    <col min="4" max="8" width="4.19921875" bestFit="1" customWidth="1"/>
    <col min="9" max="11" width="5.19921875" bestFit="1" customWidth="1"/>
    <col min="12" max="14" width="4.19921875" bestFit="1" customWidth="1"/>
  </cols>
  <sheetData>
    <row r="1" spans="2:22" ht="18.600000000000001" thickBot="1" x14ac:dyDescent="0.5">
      <c r="Q1" s="8"/>
      <c r="R1" s="8"/>
      <c r="S1" s="8"/>
      <c r="T1" s="8"/>
      <c r="U1" s="8"/>
      <c r="V1" s="8"/>
    </row>
    <row r="2" spans="2:22" ht="18.600000000000001" thickBot="1" x14ac:dyDescent="0.5">
      <c r="B2" s="4" t="s">
        <v>0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13" t="s">
        <v>6</v>
      </c>
      <c r="I2" s="16" t="s">
        <v>13</v>
      </c>
      <c r="J2" s="7" t="s">
        <v>14</v>
      </c>
      <c r="K2" s="8"/>
      <c r="L2" s="8"/>
      <c r="M2" s="8"/>
      <c r="N2" s="8"/>
      <c r="O2" s="8"/>
      <c r="P2" s="8"/>
    </row>
    <row r="3" spans="2:22" ht="27" x14ac:dyDescent="0.45">
      <c r="B3" s="3" t="s" ph="1">
        <v>15</v>
      </c>
      <c r="C3" s="9">
        <v>19</v>
      </c>
      <c r="D3" s="10">
        <v>67.200068507919369</v>
      </c>
      <c r="E3" s="10">
        <v>72.439642070554626</v>
      </c>
      <c r="F3" s="10">
        <v>64.105101177681306</v>
      </c>
      <c r="G3" s="10">
        <v>93.827572672606266</v>
      </c>
      <c r="H3" s="14">
        <v>19.101657845606589</v>
      </c>
      <c r="I3" s="17">
        <f>SUM(C3:H3)</f>
        <v>335.67404227436816</v>
      </c>
      <c r="J3" s="18">
        <f>RANK(I3,$I$3:$I$9)</f>
        <v>1</v>
      </c>
    </row>
    <row r="4" spans="2:22" ht="27" x14ac:dyDescent="0.45">
      <c r="B4" s="1" t="s" ph="1">
        <v>12</v>
      </c>
      <c r="C4" s="11">
        <v>28</v>
      </c>
      <c r="D4" s="12">
        <v>46.915186780604756</v>
      </c>
      <c r="E4" s="12">
        <v>79.29740108818396</v>
      </c>
      <c r="F4" s="12">
        <v>17.278455147228222</v>
      </c>
      <c r="G4" s="12">
        <v>95.052707666394838</v>
      </c>
      <c r="H4" s="15">
        <v>39.783434101851455</v>
      </c>
      <c r="I4" s="19">
        <f>SUM(C4:H4)</f>
        <v>306.32718478426324</v>
      </c>
      <c r="J4" s="20">
        <f>RANK(I4,$I$3:$I$9)</f>
        <v>2</v>
      </c>
    </row>
    <row r="5" spans="2:22" ht="27" x14ac:dyDescent="0.45">
      <c r="B5" s="1" t="s" ph="1">
        <v>10</v>
      </c>
      <c r="C5" s="11">
        <v>51</v>
      </c>
      <c r="D5" s="12">
        <v>70.077601766927685</v>
      </c>
      <c r="E5" s="12">
        <v>12.900189199675493</v>
      </c>
      <c r="F5" s="12">
        <v>90.883254734037365</v>
      </c>
      <c r="G5" s="12">
        <v>53.81404888660164</v>
      </c>
      <c r="H5" s="15">
        <v>26.051001561561026</v>
      </c>
      <c r="I5" s="19">
        <f>SUM(C5:H5)</f>
        <v>304.72609614880321</v>
      </c>
      <c r="J5" s="20">
        <f>RANK(I5,$I$3:$I$9)</f>
        <v>3</v>
      </c>
    </row>
    <row r="6" spans="2:22" ht="27" x14ac:dyDescent="0.45">
      <c r="B6" s="1" t="s" ph="1">
        <v>8</v>
      </c>
      <c r="C6" s="11">
        <v>24</v>
      </c>
      <c r="D6" s="12">
        <v>39.041922399751407</v>
      </c>
      <c r="E6" s="12">
        <v>82.518724656393445</v>
      </c>
      <c r="F6" s="12">
        <v>49.612999805834747</v>
      </c>
      <c r="G6" s="12">
        <v>42.190498543056762</v>
      </c>
      <c r="H6" s="15">
        <v>32.540058519649904</v>
      </c>
      <c r="I6" s="19">
        <f>SUM(C6:H6)</f>
        <v>269.90420392468627</v>
      </c>
      <c r="J6" s="20">
        <f>RANK(I6,$I$3:$I$9)</f>
        <v>4</v>
      </c>
    </row>
    <row r="7" spans="2:22" ht="27" x14ac:dyDescent="0.45">
      <c r="B7" s="1" t="s" ph="1">
        <v>11</v>
      </c>
      <c r="C7" s="11">
        <v>23</v>
      </c>
      <c r="D7" s="12">
        <v>70.758290113157173</v>
      </c>
      <c r="E7" s="12">
        <v>56.306655095229871</v>
      </c>
      <c r="F7" s="12">
        <v>81.449315130237082</v>
      </c>
      <c r="G7" s="12">
        <v>2.9837094298912903</v>
      </c>
      <c r="H7" s="15">
        <v>3.3196587741424199E-2</v>
      </c>
      <c r="I7" s="19">
        <f>SUM(C7:H7)</f>
        <v>234.53116635625685</v>
      </c>
      <c r="J7" s="20">
        <f>RANK(I7,$I$3:$I$9)</f>
        <v>5</v>
      </c>
    </row>
    <row r="8" spans="2:22" ht="27" x14ac:dyDescent="0.45">
      <c r="B8" s="1" t="s" ph="1">
        <v>7</v>
      </c>
      <c r="C8" s="11">
        <v>53</v>
      </c>
      <c r="D8" s="12">
        <v>36.521504234525537</v>
      </c>
      <c r="E8" s="12">
        <v>10.331879692164403</v>
      </c>
      <c r="F8" s="12">
        <v>37.678838912109093</v>
      </c>
      <c r="G8" s="12">
        <v>67.212742444350766</v>
      </c>
      <c r="H8" s="15">
        <v>27.191871404698308</v>
      </c>
      <c r="I8" s="19">
        <f>SUM(C8:H8)</f>
        <v>231.93683668784811</v>
      </c>
      <c r="J8" s="20">
        <f>RANK(I8,$I$3:$I$9)</f>
        <v>6</v>
      </c>
    </row>
    <row r="9" spans="2:22" ht="27.6" thickBot="1" x14ac:dyDescent="0.5">
      <c r="B9" s="2" t="s" ph="1">
        <v>9</v>
      </c>
      <c r="C9" s="23">
        <v>36</v>
      </c>
      <c r="D9" s="24">
        <v>68.434860328468957</v>
      </c>
      <c r="E9" s="24">
        <v>16.646840692114097</v>
      </c>
      <c r="F9" s="24">
        <v>24.796922159254976</v>
      </c>
      <c r="G9" s="24">
        <v>38.086357127190325</v>
      </c>
      <c r="H9" s="25">
        <v>35</v>
      </c>
      <c r="I9" s="21">
        <f>SUM(C9:H9)</f>
        <v>218.96498030702836</v>
      </c>
      <c r="J9" s="22">
        <f>RANK(I9,$I$3:$I$9)</f>
        <v>7</v>
      </c>
    </row>
    <row r="11" spans="2:22" x14ac:dyDescent="0.45">
      <c r="B11" s="28" t="s">
        <v>16</v>
      </c>
      <c r="C11" s="28"/>
      <c r="D11" s="28"/>
      <c r="E11" s="28"/>
      <c r="F11" s="28"/>
      <c r="G11" s="28"/>
      <c r="H11" s="28"/>
      <c r="I11" s="28"/>
      <c r="J11" s="28"/>
    </row>
    <row r="12" spans="2:22" ht="18.600000000000001" thickBot="1" x14ac:dyDescent="0.5">
      <c r="B12" s="29"/>
      <c r="C12" s="29"/>
      <c r="D12" s="29"/>
      <c r="E12" s="29"/>
      <c r="F12" s="29"/>
      <c r="G12" s="29"/>
      <c r="H12" s="29"/>
      <c r="I12" s="29"/>
      <c r="J12" s="29"/>
    </row>
    <row r="13" spans="2:22" ht="18.600000000000001" thickBot="1" x14ac:dyDescent="0.5">
      <c r="B13" s="4" t="s">
        <v>0</v>
      </c>
      <c r="C13" s="5" t="s">
        <v>1</v>
      </c>
      <c r="D13" s="6" t="s">
        <v>2</v>
      </c>
      <c r="E13" s="6" t="s">
        <v>3</v>
      </c>
      <c r="F13" s="6" t="s">
        <v>4</v>
      </c>
      <c r="G13" s="6" t="s">
        <v>5</v>
      </c>
      <c r="H13" s="13" t="s">
        <v>6</v>
      </c>
      <c r="I13" s="16" t="s">
        <v>13</v>
      </c>
      <c r="J13" s="7" t="s">
        <v>14</v>
      </c>
    </row>
    <row r="14" spans="2:22" ht="18.600000000000001" thickBot="1" x14ac:dyDescent="0.5">
      <c r="B14" s="26" t="s">
        <v>12</v>
      </c>
      <c r="C14" s="27">
        <f>VLOOKUP($B$14,$B$3:$J$9,2)</f>
        <v>28</v>
      </c>
      <c r="D14" s="27">
        <f>VLOOKUP($B$14,$B$3:$J$9,3)</f>
        <v>46.915186780604756</v>
      </c>
      <c r="E14" s="27">
        <f>VLOOKUP($B$14,$B$3:$J$9,4)</f>
        <v>79.29740108818396</v>
      </c>
      <c r="F14" s="27">
        <f>VLOOKUP($B$14,$B$3:$J$9,5)</f>
        <v>17.278455147228222</v>
      </c>
      <c r="G14" s="27">
        <f>VLOOKUP($B$14,$B$3:$J$9,6)</f>
        <v>95.052707666394838</v>
      </c>
      <c r="H14" s="27">
        <f>VLOOKUP($B$14,$B$3:$J$9,7)</f>
        <v>39.783434101851455</v>
      </c>
      <c r="I14" s="27">
        <f>VLOOKUP($B$14,$B$3:$J$9,8)</f>
        <v>306.32718478426324</v>
      </c>
      <c r="J14" s="27">
        <f>VLOOKUP($B$14,$B$3:$J$9,9)</f>
        <v>2</v>
      </c>
    </row>
  </sheetData>
  <sortState xmlns:xlrd2="http://schemas.microsoft.com/office/spreadsheetml/2017/richdata2" ref="B3:J9">
    <sortCondition ref="J3:J9"/>
  </sortState>
  <mergeCells count="1">
    <mergeCell ref="B11:J1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ameSortFinal">
                <anchor moveWithCells="1" sizeWithCells="1">
                  <from>
                    <xdr:col>1</xdr:col>
                    <xdr:colOff>22860</xdr:colOff>
                    <xdr:row>15</xdr:row>
                    <xdr:rowOff>160020</xdr:rowOff>
                  </from>
                  <to>
                    <xdr:col>4</xdr:col>
                    <xdr:colOff>297180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umSort">
                <anchor moveWithCells="1" sizeWithCells="1">
                  <from>
                    <xdr:col>5</xdr:col>
                    <xdr:colOff>220980</xdr:colOff>
                    <xdr:row>15</xdr:row>
                    <xdr:rowOff>30480</xdr:rowOff>
                  </from>
                  <to>
                    <xdr:col>10</xdr:col>
                    <xdr:colOff>152400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PC</dc:creator>
  <cp:lastModifiedBy>MAKOTO PC</cp:lastModifiedBy>
  <dcterms:created xsi:type="dcterms:W3CDTF">2021-04-24T04:56:03Z</dcterms:created>
  <dcterms:modified xsi:type="dcterms:W3CDTF">2021-04-24T14:06:58Z</dcterms:modified>
</cp:coreProperties>
</file>