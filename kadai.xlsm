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6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KOTO PC\kadai\"/>
    </mc:Choice>
  </mc:AlternateContent>
  <xr:revisionPtr revIDLastSave="0" documentId="13_ncr:1_{6740FFC8-2A8F-48AF-972E-CECC7908645B}" xr6:coauthVersionLast="46" xr6:coauthVersionMax="46" xr10:uidLastSave="{00000000-0000-0000-0000-000000000000}"/>
  <bookViews>
    <workbookView xWindow="-108" yWindow="-108" windowWidth="23256" windowHeight="12576" activeTab="7" xr2:uid="{00000000-000D-0000-FFFF-FFFF00000000}"/>
  </bookViews>
  <sheets>
    <sheet name="マクロの操作" sheetId="22" r:id="rId1"/>
    <sheet name="マクロ課題" sheetId="21" r:id="rId2"/>
    <sheet name="マクロ参考" sheetId="20" r:id="rId3"/>
    <sheet name="VBA課題" sheetId="19" r:id="rId4"/>
    <sheet name="list" sheetId="5" r:id="rId5"/>
    <sheet name="MP" sheetId="6" r:id="rId6"/>
    <sheet name="Index" sheetId="1" r:id="rId7"/>
    <sheet name="vba1" sheetId="7" r:id="rId8"/>
    <sheet name="vba2" sheetId="8" r:id="rId9"/>
    <sheet name="vba3" sheetId="9" r:id="rId10"/>
    <sheet name="vba4" sheetId="10" r:id="rId11"/>
    <sheet name="vba5" sheetId="11" r:id="rId12"/>
    <sheet name="vba6" sheetId="12" r:id="rId13"/>
    <sheet name="vba7" sheetId="13" r:id="rId14"/>
    <sheet name="vba8" sheetId="14" r:id="rId15"/>
    <sheet name="vba9" sheetId="15" r:id="rId16"/>
    <sheet name="vba10" sheetId="16" r:id="rId17"/>
    <sheet name="vba11" sheetId="17" r:id="rId18"/>
    <sheet name="vba12" sheetId="18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2" l="1"/>
  <c r="J4" i="22"/>
  <c r="M4" i="22"/>
  <c r="N4" i="22"/>
  <c r="I5" i="22"/>
  <c r="J5" i="22"/>
  <c r="M5" i="22"/>
  <c r="N5" i="22"/>
  <c r="I6" i="22"/>
  <c r="J6" i="22"/>
  <c r="M6" i="22"/>
  <c r="N6" i="22"/>
  <c r="I7" i="22"/>
  <c r="J7" i="22"/>
  <c r="M7" i="22"/>
  <c r="N7" i="22"/>
  <c r="I8" i="22"/>
  <c r="J8" i="22"/>
  <c r="M8" i="22"/>
  <c r="N8" i="22"/>
  <c r="I9" i="22"/>
  <c r="J9" i="22"/>
  <c r="M9" i="22"/>
  <c r="N9" i="22"/>
  <c r="I10" i="22"/>
  <c r="J10" i="22"/>
  <c r="M10" i="22"/>
  <c r="N10" i="22"/>
  <c r="I11" i="22"/>
  <c r="J11" i="22"/>
  <c r="M11" i="22"/>
  <c r="N11" i="22"/>
  <c r="C14" i="20"/>
  <c r="A15" i="20"/>
</calcChain>
</file>

<file path=xl/sharedStrings.xml><?xml version="1.0" encoding="utf-8"?>
<sst xmlns="http://schemas.openxmlformats.org/spreadsheetml/2006/main" count="118" uniqueCount="68">
  <si>
    <t>vba1</t>
    <phoneticPr fontId="1"/>
  </si>
  <si>
    <t>vba2</t>
    <phoneticPr fontId="1"/>
  </si>
  <si>
    <t>vba3</t>
  </si>
  <si>
    <t>vba4</t>
  </si>
  <si>
    <t>vba5</t>
  </si>
  <si>
    <t>vba6</t>
  </si>
  <si>
    <t>vba7</t>
  </si>
  <si>
    <t>vba8</t>
  </si>
  <si>
    <t>vba9</t>
  </si>
  <si>
    <t>vba10</t>
  </si>
  <si>
    <t>vba11</t>
  </si>
  <si>
    <t>vba12</t>
    <phoneticPr fontId="1"/>
  </si>
  <si>
    <t>URL</t>
    <phoneticPr fontId="1"/>
  </si>
  <si>
    <t>シート連続作成用参考文献</t>
    <rPh sb="3" eb="5">
      <t>レンゾク</t>
    </rPh>
    <rPh sb="5" eb="8">
      <t>サクセイヨウ</t>
    </rPh>
    <rPh sb="8" eb="10">
      <t>サンコウ</t>
    </rPh>
    <rPh sb="10" eb="12">
      <t>ブンケン</t>
    </rPh>
    <phoneticPr fontId="1"/>
  </si>
  <si>
    <t>課題</t>
    <rPh sb="0" eb="2">
      <t>カダイ</t>
    </rPh>
    <phoneticPr fontId="1"/>
  </si>
  <si>
    <t>n-masuya@hamako-ths.ed.jp</t>
    <phoneticPr fontId="1"/>
  </si>
  <si>
    <t>=INDEX($A$4:$A$11,MATCH(B14,$B$4:$B$11,0))</t>
    <phoneticPr fontId="9"/>
  </si>
  <si>
    <t>=INDIRECT(ADDRESS(MATCH($B$14,$B$4:$B$11,0)+ROW($B$3),COLUMN(H3),1))</t>
    <phoneticPr fontId="9"/>
  </si>
  <si>
    <t>=MATCH</t>
    <phoneticPr fontId="9"/>
  </si>
  <si>
    <t>=INDEX</t>
    <phoneticPr fontId="9"/>
  </si>
  <si>
    <t>COLUMN　</t>
    <phoneticPr fontId="9"/>
  </si>
  <si>
    <t>ROW</t>
    <phoneticPr fontId="9"/>
  </si>
  <si>
    <t>MATCH</t>
    <phoneticPr fontId="9"/>
  </si>
  <si>
    <t>ADDRESS</t>
    <phoneticPr fontId="9"/>
  </si>
  <si>
    <t>INDIRECT</t>
    <phoneticPr fontId="9"/>
  </si>
  <si>
    <t>この関数を組み合わせて</t>
    <rPh sb="2" eb="4">
      <t>カンスウ</t>
    </rPh>
    <rPh sb="5" eb="6">
      <t>ク</t>
    </rPh>
    <rPh sb="7" eb="8">
      <t>ア</t>
    </rPh>
    <phoneticPr fontId="9"/>
  </si>
  <si>
    <t>ヒント</t>
    <phoneticPr fontId="9"/>
  </si>
  <si>
    <t>↑ここに名前を入れたら、その人の業績が表示されるようにする。</t>
    <rPh sb="4" eb="6">
      <t>ナマエ</t>
    </rPh>
    <rPh sb="7" eb="8">
      <t>イ</t>
    </rPh>
    <rPh sb="14" eb="15">
      <t>ヒト</t>
    </rPh>
    <rPh sb="16" eb="18">
      <t>ギョウセキ</t>
    </rPh>
    <rPh sb="19" eb="21">
      <t>ヒョウジ</t>
    </rPh>
    <phoneticPr fontId="9"/>
  </si>
  <si>
    <t>大島</t>
    <rPh sb="0" eb="2">
      <t>オオシマ</t>
    </rPh>
    <phoneticPr fontId="9"/>
  </si>
  <si>
    <t>順位</t>
    <rPh sb="0" eb="2">
      <t>ジュンイ</t>
    </rPh>
    <phoneticPr fontId="9"/>
  </si>
  <si>
    <t>合計</t>
    <rPh sb="0" eb="2">
      <t>ゴウケイ</t>
    </rPh>
    <phoneticPr fontId="9"/>
  </si>
  <si>
    <t>9月</t>
    <rPh sb="1" eb="2">
      <t>ガツ</t>
    </rPh>
    <phoneticPr fontId="9"/>
  </si>
  <si>
    <t>8月</t>
    <rPh sb="1" eb="2">
      <t>ガツ</t>
    </rPh>
    <phoneticPr fontId="9"/>
  </si>
  <si>
    <t>7月</t>
    <rPh sb="1" eb="2">
      <t>ガツ</t>
    </rPh>
    <phoneticPr fontId="9"/>
  </si>
  <si>
    <t>6月</t>
    <rPh sb="1" eb="2">
      <t>ガツ</t>
    </rPh>
    <phoneticPr fontId="9"/>
  </si>
  <si>
    <t>5月</t>
    <rPh sb="1" eb="2">
      <t>ガツ</t>
    </rPh>
    <phoneticPr fontId="9"/>
  </si>
  <si>
    <t>4月</t>
    <rPh sb="1" eb="2">
      <t>ガツ</t>
    </rPh>
    <phoneticPr fontId="9"/>
  </si>
  <si>
    <t>氏名</t>
    <rPh sb="0" eb="2">
      <t>シメイ</t>
    </rPh>
    <phoneticPr fontId="9"/>
  </si>
  <si>
    <t>板野</t>
    <rPh sb="0" eb="2">
      <t>イタノ</t>
    </rPh>
    <phoneticPr fontId="9"/>
  </si>
  <si>
    <t>小嶋</t>
    <rPh sb="0" eb="2">
      <t>コジマ</t>
    </rPh>
    <phoneticPr fontId="9"/>
  </si>
  <si>
    <t>高橋</t>
    <rPh sb="0" eb="2">
      <t>タカハシ</t>
    </rPh>
    <phoneticPr fontId="9"/>
  </si>
  <si>
    <t>篠田</t>
    <rPh sb="0" eb="2">
      <t>シノダ</t>
    </rPh>
    <phoneticPr fontId="9"/>
  </si>
  <si>
    <t>指原</t>
    <rPh sb="0" eb="2">
      <t>サシハラ</t>
    </rPh>
    <phoneticPr fontId="9"/>
  </si>
  <si>
    <t>柏木</t>
    <rPh sb="0" eb="2">
      <t>カシワギ</t>
    </rPh>
    <phoneticPr fontId="9"/>
  </si>
  <si>
    <t>渡辺</t>
    <rPh sb="0" eb="2">
      <t>ワタナベ</t>
    </rPh>
    <phoneticPr fontId="9"/>
  </si>
  <si>
    <t>月別契約数</t>
    <rPh sb="0" eb="1">
      <t>ツキ</t>
    </rPh>
    <rPh sb="1" eb="2">
      <t>ベツ</t>
    </rPh>
    <rPh sb="2" eb="4">
      <t>ケイヤク</t>
    </rPh>
    <rPh sb="4" eb="5">
      <t>スウ</t>
    </rPh>
    <phoneticPr fontId="9"/>
  </si>
  <si>
    <t>大島</t>
    <rPh sb="0" eb="2">
      <t>ダイトウ</t>
    </rPh>
    <phoneticPr fontId="9"/>
  </si>
  <si>
    <t>12月</t>
  </si>
  <si>
    <t>11月</t>
  </si>
  <si>
    <t>10月</t>
  </si>
  <si>
    <t>9月</t>
  </si>
  <si>
    <t>8月</t>
  </si>
  <si>
    <t>7月</t>
  </si>
  <si>
    <t>絶対セル参照</t>
    <rPh sb="0" eb="2">
      <t>ゼッタイ</t>
    </rPh>
    <rPh sb="4" eb="6">
      <t>サンショウ</t>
    </rPh>
    <phoneticPr fontId="13"/>
  </si>
  <si>
    <t>相対セル参照</t>
    <rPh sb="0" eb="2">
      <t>ソウタイ</t>
    </rPh>
    <rPh sb="4" eb="6">
      <t>サンショウ</t>
    </rPh>
    <phoneticPr fontId="13"/>
  </si>
  <si>
    <t>②半年間の成績の移り変わり</t>
    <rPh sb="1" eb="4">
      <t>ハントシカン</t>
    </rPh>
    <rPh sb="5" eb="7">
      <t>セイセキ</t>
    </rPh>
    <rPh sb="8" eb="9">
      <t>ウツ</t>
    </rPh>
    <rPh sb="10" eb="11">
      <t>カ</t>
    </rPh>
    <phoneticPr fontId="9"/>
  </si>
  <si>
    <t>①月別の各人の成績比較</t>
    <rPh sb="1" eb="3">
      <t>ツキベツ</t>
    </rPh>
    <rPh sb="4" eb="6">
      <t>カクジン</t>
    </rPh>
    <rPh sb="7" eb="9">
      <t>セイセキ</t>
    </rPh>
    <rPh sb="9" eb="11">
      <t>ヒカク</t>
    </rPh>
    <phoneticPr fontId="9"/>
  </si>
  <si>
    <t>=RANK  を使おう</t>
    <rPh sb="8" eb="9">
      <t>ツカ</t>
    </rPh>
    <phoneticPr fontId="13"/>
  </si>
  <si>
    <t>順位　</t>
    <rPh sb="0" eb="2">
      <t>ジュンイ</t>
    </rPh>
    <phoneticPr fontId="13"/>
  </si>
  <si>
    <t>適するグラフ形式は？</t>
    <rPh sb="0" eb="1">
      <t>テキ</t>
    </rPh>
    <rPh sb="6" eb="8">
      <t>ケイシキ</t>
    </rPh>
    <phoneticPr fontId="9"/>
  </si>
  <si>
    <t>グラフの作成</t>
    <rPh sb="4" eb="6">
      <t>サクセイ</t>
    </rPh>
    <phoneticPr fontId="9"/>
  </si>
  <si>
    <t>=SUM　を使おう</t>
    <rPh sb="6" eb="7">
      <t>ツカ</t>
    </rPh>
    <phoneticPr fontId="13"/>
  </si>
  <si>
    <t>合計</t>
    <rPh sb="0" eb="2">
      <t>ゴウケイ</t>
    </rPh>
    <phoneticPr fontId="13"/>
  </si>
  <si>
    <t>＝Vlookup　を使おう</t>
    <rPh sb="10" eb="11">
      <t>ツカ</t>
    </rPh>
    <phoneticPr fontId="9"/>
  </si>
  <si>
    <t>番号と月を入力すると氏名と月成績が表示されるようにする</t>
    <rPh sb="0" eb="2">
      <t>バンゴウ</t>
    </rPh>
    <rPh sb="3" eb="4">
      <t>ツキ</t>
    </rPh>
    <rPh sb="5" eb="7">
      <t>ニュウリョク</t>
    </rPh>
    <rPh sb="10" eb="12">
      <t>シメイ</t>
    </rPh>
    <rPh sb="13" eb="14">
      <t>ツキ</t>
    </rPh>
    <rPh sb="14" eb="16">
      <t>セイセキ</t>
    </rPh>
    <rPh sb="17" eb="19">
      <t>ヒョウジ</t>
    </rPh>
    <phoneticPr fontId="9"/>
  </si>
  <si>
    <t>　</t>
    <phoneticPr fontId="9"/>
  </si>
  <si>
    <t>小嶋</t>
    <rPh sb="0" eb="2">
      <t>オジマ</t>
    </rPh>
    <phoneticPr fontId="9"/>
  </si>
  <si>
    <t>列の非表示　再表示</t>
    <rPh sb="0" eb="1">
      <t>レツ</t>
    </rPh>
    <rPh sb="2" eb="5">
      <t>ヒヒョウジ</t>
    </rPh>
    <rPh sb="6" eb="9">
      <t>サイヒョウジ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</si>
</sst>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#&quot;月&quot;"/>
  </numFmts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48"/>
      <color theme="1"/>
      <name val="AR Pゴシック体S"/>
      <family val="3"/>
      <charset val="128"/>
    </font>
    <font>
      <sz val="48"/>
      <name val="AR Pゴシック体S"/>
      <family val="3"/>
      <charset val="128"/>
    </font>
    <font>
      <sz val="11"/>
      <color theme="1"/>
      <name val="游ゴシック"/>
      <family val="2"/>
      <scheme val="minor"/>
    </font>
    <font>
      <sz val="11"/>
      <color indexed="13"/>
      <name val="游ゴシック"/>
      <family val="2"/>
      <scheme val="minor"/>
    </font>
    <font>
      <sz val="11"/>
      <color theme="0"/>
      <name val="游ゴシック"/>
      <family val="3"/>
      <charset val="128"/>
      <scheme val="minor"/>
    </font>
    <font>
      <sz val="11"/>
      <color theme="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5" fillId="0" borderId="0"/>
  </cellStyleXfs>
  <cellXfs count="52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0" fillId="3" borderId="0" xfId="0" applyFill="1">
      <alignment vertical="center"/>
    </xf>
    <xf numFmtId="0" fontId="3" fillId="3" borderId="0" xfId="0" applyFont="1" applyFill="1" applyAlignment="1">
      <alignment vertical="center"/>
    </xf>
    <xf numFmtId="0" fontId="2" fillId="3" borderId="0" xfId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0" borderId="0" xfId="2"/>
    <xf numFmtId="0" fontId="6" fillId="0" borderId="0" xfId="2" applyFont="1"/>
    <xf numFmtId="0" fontId="5" fillId="0" borderId="0" xfId="2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8" fillId="0" borderId="0" xfId="2" quotePrefix="1" applyFont="1" applyAlignment="1">
      <alignment vertical="center"/>
    </xf>
    <xf numFmtId="0" fontId="8" fillId="0" borderId="9" xfId="2" applyFont="1" applyBorder="1" applyAlignment="1">
      <alignment vertical="center"/>
    </xf>
    <xf numFmtId="0" fontId="8" fillId="0" borderId="10" xfId="2" quotePrefix="1" applyFont="1" applyBorder="1" applyAlignment="1">
      <alignment vertical="center"/>
    </xf>
    <xf numFmtId="0" fontId="8" fillId="0" borderId="11" xfId="2" applyFont="1" applyBorder="1" applyAlignment="1">
      <alignment vertical="center"/>
    </xf>
    <xf numFmtId="0" fontId="8" fillId="0" borderId="12" xfId="2" quotePrefix="1" applyFont="1" applyBorder="1" applyAlignment="1">
      <alignment vertical="center"/>
    </xf>
    <xf numFmtId="0" fontId="8" fillId="0" borderId="8" xfId="2" applyFont="1" applyBorder="1" applyAlignment="1">
      <alignment vertical="center"/>
    </xf>
    <xf numFmtId="0" fontId="8" fillId="0" borderId="6" xfId="2" quotePrefix="1" applyFont="1" applyBorder="1" applyAlignment="1">
      <alignment vertical="center"/>
    </xf>
    <xf numFmtId="0" fontId="8" fillId="0" borderId="5" xfId="2" applyFont="1" applyBorder="1" applyAlignment="1">
      <alignment vertical="center"/>
    </xf>
    <xf numFmtId="0" fontId="8" fillId="0" borderId="4" xfId="2" quotePrefix="1" applyFont="1" applyBorder="1" applyAlignment="1">
      <alignment vertical="center"/>
    </xf>
    <xf numFmtId="0" fontId="8" fillId="0" borderId="3" xfId="2" applyFont="1" applyBorder="1" applyAlignment="1">
      <alignment vertical="center"/>
    </xf>
    <xf numFmtId="0" fontId="8" fillId="0" borderId="1" xfId="2" quotePrefix="1" applyFont="1" applyBorder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quotePrefix="1" applyFont="1" applyAlignment="1">
      <alignment vertical="center"/>
    </xf>
    <xf numFmtId="0" fontId="5" fillId="0" borderId="13" xfId="2" applyBorder="1" applyAlignment="1">
      <alignment horizontal="center" vertical="center"/>
    </xf>
    <xf numFmtId="0" fontId="5" fillId="4" borderId="13" xfId="2" applyFill="1" applyBorder="1" applyAlignment="1">
      <alignment horizontal="center" vertical="center"/>
    </xf>
    <xf numFmtId="0" fontId="5" fillId="0" borderId="14" xfId="2" applyBorder="1" applyAlignment="1">
      <alignment vertical="center"/>
    </xf>
    <xf numFmtId="0" fontId="5" fillId="0" borderId="15" xfId="2" applyBorder="1" applyAlignment="1">
      <alignment vertical="center"/>
    </xf>
    <xf numFmtId="0" fontId="5" fillId="0" borderId="15" xfId="2" applyBorder="1" applyAlignment="1">
      <alignment horizontal="center" vertical="center"/>
    </xf>
    <xf numFmtId="0" fontId="5" fillId="0" borderId="16" xfId="2" applyBorder="1" applyAlignment="1">
      <alignment vertical="center"/>
    </xf>
    <xf numFmtId="0" fontId="5" fillId="0" borderId="16" xfId="2" applyBorder="1" applyAlignment="1">
      <alignment horizontal="center" vertical="center"/>
    </xf>
    <xf numFmtId="0" fontId="5" fillId="0" borderId="17" xfId="2" applyBorder="1" applyAlignment="1">
      <alignment vertical="center"/>
    </xf>
    <xf numFmtId="0" fontId="5" fillId="0" borderId="17" xfId="2" applyBorder="1" applyAlignment="1">
      <alignment horizontal="center" vertical="center"/>
    </xf>
    <xf numFmtId="0" fontId="5" fillId="0" borderId="18" xfId="2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5" fillId="0" borderId="13" xfId="2" applyBorder="1" applyAlignment="1">
      <alignment vertical="center"/>
    </xf>
    <xf numFmtId="0" fontId="5" fillId="0" borderId="18" xfId="2" applyBorder="1" applyAlignment="1">
      <alignment horizontal="center" vertical="center"/>
    </xf>
    <xf numFmtId="0" fontId="5" fillId="2" borderId="0" xfId="2" applyFill="1" applyAlignment="1">
      <alignment vertical="center"/>
    </xf>
    <xf numFmtId="0" fontId="5" fillId="0" borderId="0" xfId="2" quotePrefix="1" applyAlignment="1">
      <alignment vertical="center"/>
    </xf>
    <xf numFmtId="0" fontId="5" fillId="0" borderId="19" xfId="2" applyBorder="1" applyAlignment="1">
      <alignment vertical="center"/>
    </xf>
    <xf numFmtId="176" fontId="5" fillId="0" borderId="0" xfId="2" applyNumberFormat="1" applyAlignment="1">
      <alignment vertical="center"/>
    </xf>
    <xf numFmtId="176" fontId="5" fillId="4" borderId="13" xfId="2" applyNumberFormat="1" applyFill="1" applyBorder="1" applyAlignment="1">
      <alignment horizontal="center" vertical="center"/>
    </xf>
  </cellXfs>
  <cellStyles count="3">
    <cellStyle name="ハイパーリンク" xfId="1" builtinId="8"/>
    <cellStyle name="標準" xfId="0" builtinId="0"/>
    <cellStyle name="標準 2" xfId="2" xr:uid="{F20D6FD2-FDB6-435F-8F23-B6BA225C3D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マクロの操作!$L$4:$M$11</c:f>
              <c:multiLvlStrCache>
                <c:ptCount val="8"/>
                <c:lvl>
                  <c:pt idx="0">
                    <c:v>大島</c:v>
                  </c:pt>
                  <c:pt idx="1">
                    <c:v>渡辺</c:v>
                  </c:pt>
                  <c:pt idx="2">
                    <c:v>柏木</c:v>
                  </c:pt>
                  <c:pt idx="3">
                    <c:v>指原</c:v>
                  </c:pt>
                  <c:pt idx="4">
                    <c:v>篠田</c:v>
                  </c:pt>
                  <c:pt idx="5">
                    <c:v>高橋</c:v>
                  </c:pt>
                  <c:pt idx="6">
                    <c:v>小嶋</c:v>
                  </c:pt>
                  <c:pt idx="7">
                    <c:v>板野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:lvl>
              </c:multiLvlStrCache>
            </c:multiLvlStrRef>
          </c:cat>
          <c:val>
            <c:numRef>
              <c:f>マクロの操作!$N$4:$N$11</c:f>
              <c:numCache>
                <c:formatCode>General</c:formatCode>
                <c:ptCount val="8"/>
                <c:pt idx="0">
                  <c:v>9</c:v>
                </c:pt>
                <c:pt idx="1">
                  <c:v>7</c:v>
                </c:pt>
                <c:pt idx="2">
                  <c:v>11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7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E-4F42-86A3-2FC31B5BA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348143"/>
        <c:axId val="646089215"/>
      </c:barChart>
      <c:catAx>
        <c:axId val="54534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089215"/>
        <c:crosses val="autoZero"/>
        <c:auto val="1"/>
        <c:lblAlgn val="ctr"/>
        <c:lblOffset val="100"/>
        <c:noMultiLvlLbl val="0"/>
      </c:catAx>
      <c:valAx>
        <c:axId val="6460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34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678180</xdr:colOff>
          <xdr:row>2</xdr:row>
          <xdr:rowOff>0</xdr:rowOff>
        </xdr:from>
        <xdr:to>
          <xdr:col>18</xdr:col>
          <xdr:colOff>0</xdr:colOff>
          <xdr:row>4</xdr:row>
          <xdr:rowOff>7620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F329BC63-74CD-4B1F-9AF8-BD8D6DDA0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Emergen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678180</xdr:colOff>
          <xdr:row>5</xdr:row>
          <xdr:rowOff>0</xdr:rowOff>
        </xdr:from>
        <xdr:to>
          <xdr:col>18</xdr:col>
          <xdr:colOff>0</xdr:colOff>
          <xdr:row>6</xdr:row>
          <xdr:rowOff>160020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FE39DF6-4267-418C-A5C5-B620E823F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UnEmergen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433387</xdr:colOff>
      <xdr:row>7</xdr:row>
      <xdr:rowOff>0</xdr:rowOff>
    </xdr:from>
    <xdr:to>
      <xdr:col>26</xdr:col>
      <xdr:colOff>204787</xdr:colOff>
      <xdr:row>23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41ADF44-35F3-4968-99DB-426E66D9AD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276225</xdr:colOff>
      <xdr:row>4</xdr:row>
      <xdr:rowOff>47625</xdr:rowOff>
    </xdr:from>
    <xdr:ext cx="5354955" cy="3676650"/>
    <xdr:pic>
      <xdr:nvPicPr>
        <xdr:cNvPr id="2" name="図 1">
          <a:extLst>
            <a:ext uri="{FF2B5EF4-FFF2-40B4-BE49-F238E27FC236}">
              <a16:creationId xmlns:a16="http://schemas.microsoft.com/office/drawing/2014/main" id="{983DFE48-79DC-4AF0-AA57-4FA5F755E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2865" y="718185"/>
          <a:ext cx="5354955" cy="3676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30480</xdr:colOff>
          <xdr:row>6</xdr:row>
          <xdr:rowOff>45720</xdr:rowOff>
        </xdr:from>
        <xdr:ext cx="2506980" cy="952500"/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2AAB542D-FED3-4EB0-8ADC-9CBAF4422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5</xdr:row>
          <xdr:rowOff>7620</xdr:rowOff>
        </xdr:from>
        <xdr:to>
          <xdr:col>5</xdr:col>
          <xdr:colOff>106680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連続シートの作成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2</xdr:row>
          <xdr:rowOff>38100</xdr:rowOff>
        </xdr:from>
        <xdr:to>
          <xdr:col>9</xdr:col>
          <xdr:colOff>457200</xdr:colOff>
          <xdr:row>4</xdr:row>
          <xdr:rowOff>45720</xdr:rowOff>
        </xdr:to>
        <xdr:sp macro="" textlink="">
          <xdr:nvSpPr>
            <xdr:cNvPr id="2055" name="CommandButton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7</xdr:row>
          <xdr:rowOff>198120</xdr:rowOff>
        </xdr:from>
        <xdr:to>
          <xdr:col>11</xdr:col>
          <xdr:colOff>259080</xdr:colOff>
          <xdr:row>9</xdr:row>
          <xdr:rowOff>160020</xdr:rowOff>
        </xdr:to>
        <xdr:sp macro="" textlink="">
          <xdr:nvSpPr>
            <xdr:cNvPr id="2056" name="CommandButton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5</xdr:row>
          <xdr:rowOff>15240</xdr:rowOff>
        </xdr:from>
        <xdr:to>
          <xdr:col>9</xdr:col>
          <xdr:colOff>457200</xdr:colOff>
          <xdr:row>6</xdr:row>
          <xdr:rowOff>205740</xdr:rowOff>
        </xdr:to>
        <xdr:sp macro="" textlink="">
          <xdr:nvSpPr>
            <xdr:cNvPr id="2057" name="CommandButton3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18167891-3670-484B-A3F9-B0AEAC31C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83820</xdr:rowOff>
        </xdr:from>
        <xdr:to>
          <xdr:col>11</xdr:col>
          <xdr:colOff>266700</xdr:colOff>
          <xdr:row>12</xdr:row>
          <xdr:rowOff>53340</xdr:rowOff>
        </xdr:to>
        <xdr:sp macro="" textlink="">
          <xdr:nvSpPr>
            <xdr:cNvPr id="2058" name="CommandButton4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270D8D74-D17B-47C0-8119-1C87BC72F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</xdr:colOff>
          <xdr:row>13</xdr:row>
          <xdr:rowOff>7620</xdr:rowOff>
        </xdr:from>
        <xdr:to>
          <xdr:col>11</xdr:col>
          <xdr:colOff>281940</xdr:colOff>
          <xdr:row>14</xdr:row>
          <xdr:rowOff>205740</xdr:rowOff>
        </xdr:to>
        <xdr:sp macro="" textlink="">
          <xdr:nvSpPr>
            <xdr:cNvPr id="2059" name="CommandButton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CD265B8-03F4-4638-86BC-441C7DEC9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15</xdr:row>
          <xdr:rowOff>198120</xdr:rowOff>
        </xdr:from>
        <xdr:to>
          <xdr:col>11</xdr:col>
          <xdr:colOff>320040</xdr:colOff>
          <xdr:row>17</xdr:row>
          <xdr:rowOff>167640</xdr:rowOff>
        </xdr:to>
        <xdr:sp macro="" textlink="">
          <xdr:nvSpPr>
            <xdr:cNvPr id="2060" name="CommandButton6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6D739DBE-4A0C-426F-8F11-4629F5A57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</xdr:row>
          <xdr:rowOff>60960</xdr:rowOff>
        </xdr:from>
        <xdr:to>
          <xdr:col>11</xdr:col>
          <xdr:colOff>297180</xdr:colOff>
          <xdr:row>4</xdr:row>
          <xdr:rowOff>22860</xdr:rowOff>
        </xdr:to>
        <xdr:sp macro="" textlink="">
          <xdr:nvSpPr>
            <xdr:cNvPr id="2061" name="CommandButton7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65E40D12-EF60-4CBB-9D88-C93E40533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</xdr:colOff>
          <xdr:row>5</xdr:row>
          <xdr:rowOff>7620</xdr:rowOff>
        </xdr:from>
        <xdr:to>
          <xdr:col>11</xdr:col>
          <xdr:colOff>304800</xdr:colOff>
          <xdr:row>6</xdr:row>
          <xdr:rowOff>198120</xdr:rowOff>
        </xdr:to>
        <xdr:sp macro="" textlink="">
          <xdr:nvSpPr>
            <xdr:cNvPr id="2062" name="CommandButton8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FFEFAA39-67D9-47C1-8FD2-B37FF7A1B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15</xdr:row>
          <xdr:rowOff>198120</xdr:rowOff>
        </xdr:from>
        <xdr:to>
          <xdr:col>9</xdr:col>
          <xdr:colOff>457200</xdr:colOff>
          <xdr:row>17</xdr:row>
          <xdr:rowOff>167640</xdr:rowOff>
        </xdr:to>
        <xdr:sp macro="" textlink="">
          <xdr:nvSpPr>
            <xdr:cNvPr id="2063" name="CommandButton9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5DDA28E5-9540-48EC-868D-DCE6FFA47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13</xdr:row>
          <xdr:rowOff>7620</xdr:rowOff>
        </xdr:from>
        <xdr:to>
          <xdr:col>9</xdr:col>
          <xdr:colOff>472440</xdr:colOff>
          <xdr:row>14</xdr:row>
          <xdr:rowOff>205740</xdr:rowOff>
        </xdr:to>
        <xdr:sp macro="" textlink="">
          <xdr:nvSpPr>
            <xdr:cNvPr id="2064" name="CommandButton10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98A2652B-2543-428A-870F-C4D0DDE8B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53340</xdr:rowOff>
        </xdr:from>
        <xdr:to>
          <xdr:col>9</xdr:col>
          <xdr:colOff>480060</xdr:colOff>
          <xdr:row>12</xdr:row>
          <xdr:rowOff>22860</xdr:rowOff>
        </xdr:to>
        <xdr:sp macro="" textlink="">
          <xdr:nvSpPr>
            <xdr:cNvPr id="2065" name="CommandButton1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7916BDDC-6898-4E84-AE9A-422FBF093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7</xdr:row>
          <xdr:rowOff>152400</xdr:rowOff>
        </xdr:from>
        <xdr:to>
          <xdr:col>9</xdr:col>
          <xdr:colOff>480060</xdr:colOff>
          <xdr:row>9</xdr:row>
          <xdr:rowOff>114300</xdr:rowOff>
        </xdr:to>
        <xdr:sp macro="" textlink="">
          <xdr:nvSpPr>
            <xdr:cNvPr id="2066" name="CommandButton12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30EBE178-54CE-47DF-B721-F622DC9B9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0</xdr:row>
          <xdr:rowOff>175260</xdr:rowOff>
        </xdr:from>
        <xdr:to>
          <xdr:col>2</xdr:col>
          <xdr:colOff>190500</xdr:colOff>
          <xdr:row>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687108D-5AE9-41EB-9C1A-8A5BEC39C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176DE56A-FBD8-4B30-9912-421A7CCAB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AACC85F-0206-46B5-B666-5B35D5E1E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CFD8C064-034F-4949-8CD3-98D8D3429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75043448-E1CD-455C-BA48-06B57F1AF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473B224-2080-4254-BF3F-57BE31246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F471933C-ADF2-4D88-BE1F-916C3F434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EAD40242-DA63-45BE-A419-A3B5B33C4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45501F2F-1826-44A6-A65A-B4BD05C44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43E96AA9-3052-4543-892B-2CD63A48E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A27790CE-9934-4ABB-BAF7-A78665BA7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ipsfound.com/vba/10006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" Type="http://schemas.openxmlformats.org/officeDocument/2006/relationships/drawing" Target="../drawings/drawing5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printerSettings" Target="../printerSettings/printerSettings4.bin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hyperlink" Target="mailto:n-masuya@hamako-ths.ed.jp" TargetMode="Externa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24" Type="http://schemas.openxmlformats.org/officeDocument/2006/relationships/image" Target="../media/image12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4.emf"/><Relationship Id="rId10" Type="http://schemas.openxmlformats.org/officeDocument/2006/relationships/image" Target="../media/image5.emf"/><Relationship Id="rId19" Type="http://schemas.openxmlformats.org/officeDocument/2006/relationships/control" Target="../activeX/activeX9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1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1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19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2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image" Target="../media/image22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2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24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image" Target="../media/image25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9487-3EF2-4B0A-A485-43CC4118A9EB}">
  <sheetPr codeName="Sheet19"/>
  <dimension ref="A1:AA36"/>
  <sheetViews>
    <sheetView topLeftCell="K1" workbookViewId="0">
      <selection activeCell="AF9" sqref="AF9"/>
    </sheetView>
  </sheetViews>
  <sheetFormatPr defaultColWidth="8.09765625" defaultRowHeight="18"/>
  <cols>
    <col min="1" max="1" width="4" style="17" hidden="1" customWidth="1"/>
    <col min="2" max="2" width="9.19921875" style="17" hidden="1" customWidth="1"/>
    <col min="3" max="9" width="6" style="17" hidden="1" customWidth="1"/>
    <col min="10" max="10" width="12.296875" style="17" hidden="1" customWidth="1"/>
    <col min="11" max="11" width="8.09765625" style="17"/>
    <col min="12" max="12" width="5.3984375" style="17" customWidth="1"/>
    <col min="13" max="24" width="8.09765625" style="17"/>
    <col min="25" max="25" width="8.09765625" style="17" customWidth="1"/>
    <col min="26" max="16384" width="8.09765625" style="17"/>
  </cols>
  <sheetData>
    <row r="1" spans="1:27">
      <c r="B1" s="44" t="s">
        <v>45</v>
      </c>
      <c r="C1" s="44"/>
      <c r="D1" s="44"/>
      <c r="E1" s="44"/>
      <c r="F1" s="44"/>
      <c r="G1" s="44"/>
      <c r="H1" s="44"/>
    </row>
    <row r="2" spans="1:27">
      <c r="B2" s="43"/>
      <c r="C2" s="43"/>
      <c r="D2" s="43"/>
      <c r="E2" s="43"/>
      <c r="F2" s="43"/>
      <c r="G2" s="43"/>
      <c r="H2" s="43"/>
      <c r="Q2" s="17" t="s">
        <v>67</v>
      </c>
    </row>
    <row r="3" spans="1:27" ht="13.5" customHeight="1">
      <c r="A3" s="35"/>
      <c r="B3" s="35" t="s">
        <v>37</v>
      </c>
      <c r="C3" s="35" t="s">
        <v>36</v>
      </c>
      <c r="D3" s="35" t="s">
        <v>35</v>
      </c>
      <c r="E3" s="35" t="s">
        <v>34</v>
      </c>
      <c r="F3" s="35" t="s">
        <v>33</v>
      </c>
      <c r="G3" s="35" t="s">
        <v>32</v>
      </c>
      <c r="H3" s="35" t="s">
        <v>31</v>
      </c>
      <c r="I3" s="35" t="s">
        <v>30</v>
      </c>
      <c r="J3" s="35" t="s">
        <v>29</v>
      </c>
      <c r="L3" s="35"/>
      <c r="M3" s="35" t="s">
        <v>37</v>
      </c>
      <c r="N3" s="51">
        <v>4</v>
      </c>
      <c r="O3" s="50"/>
    </row>
    <row r="4" spans="1:27">
      <c r="A4" s="34">
        <v>1</v>
      </c>
      <c r="B4" s="34" t="s">
        <v>46</v>
      </c>
      <c r="C4" s="45">
        <v>9</v>
      </c>
      <c r="D4" s="45">
        <v>7</v>
      </c>
      <c r="E4" s="45">
        <v>11</v>
      </c>
      <c r="F4" s="45">
        <v>6</v>
      </c>
      <c r="G4" s="45">
        <v>8</v>
      </c>
      <c r="H4" s="45">
        <v>9</v>
      </c>
      <c r="I4" s="45">
        <f>SUM(C4:H4)</f>
        <v>50</v>
      </c>
      <c r="J4" s="45">
        <f>RANK(I4,$I$4:$I$11,0)</f>
        <v>4</v>
      </c>
      <c r="L4" s="34">
        <v>1</v>
      </c>
      <c r="M4" s="34" t="str">
        <f>VLOOKUP($L4,$A$3:$J$11,2)</f>
        <v>大島</v>
      </c>
      <c r="N4" s="34">
        <f>VLOOKUP(L4,$A$3:$J$11,$N$3-1)</f>
        <v>9</v>
      </c>
    </row>
    <row r="5" spans="1:27">
      <c r="A5" s="34">
        <v>2</v>
      </c>
      <c r="B5" s="34" t="s">
        <v>44</v>
      </c>
      <c r="C5" s="45">
        <v>7</v>
      </c>
      <c r="D5" s="45">
        <v>5</v>
      </c>
      <c r="E5" s="45">
        <v>6</v>
      </c>
      <c r="F5" s="45">
        <v>9</v>
      </c>
      <c r="G5" s="45">
        <v>3</v>
      </c>
      <c r="H5" s="45">
        <v>12</v>
      </c>
      <c r="I5" s="45">
        <f>SUM(C5:H5)</f>
        <v>42</v>
      </c>
      <c r="J5" s="45">
        <f>RANK(I5,$I$4:$I$11,0)</f>
        <v>7</v>
      </c>
      <c r="L5" s="34">
        <v>2</v>
      </c>
      <c r="M5" s="34" t="str">
        <f>VLOOKUP($L5,$A$3:$J$11,2)</f>
        <v>渡辺</v>
      </c>
      <c r="N5" s="34">
        <f>VLOOKUP(L5,$A$3:$J$11,$N$3-1)</f>
        <v>7</v>
      </c>
    </row>
    <row r="6" spans="1:27">
      <c r="A6" s="34">
        <v>3</v>
      </c>
      <c r="B6" s="34" t="s">
        <v>43</v>
      </c>
      <c r="C6" s="45">
        <v>11</v>
      </c>
      <c r="D6" s="45">
        <v>8</v>
      </c>
      <c r="E6" s="45">
        <v>7</v>
      </c>
      <c r="F6" s="45">
        <v>12</v>
      </c>
      <c r="G6" s="45">
        <v>11</v>
      </c>
      <c r="H6" s="45">
        <v>13</v>
      </c>
      <c r="I6" s="45">
        <f>SUM(C6:H6)</f>
        <v>62</v>
      </c>
      <c r="J6" s="45">
        <f>RANK(I6,$I$4:$I$11,0)</f>
        <v>2</v>
      </c>
      <c r="L6" s="34">
        <v>3</v>
      </c>
      <c r="M6" s="34" t="str">
        <f>VLOOKUP($L6,$A$3:$J$11,2)</f>
        <v>柏木</v>
      </c>
      <c r="N6" s="34">
        <f>VLOOKUP(L6,$A$3:$J$11,$N$3-1)</f>
        <v>11</v>
      </c>
      <c r="T6" s="47"/>
      <c r="U6" s="47"/>
      <c r="V6" s="47"/>
      <c r="W6" s="47"/>
      <c r="X6" s="47"/>
      <c r="Y6" s="47"/>
      <c r="Z6" s="47"/>
      <c r="AA6" s="47"/>
    </row>
    <row r="7" spans="1:27">
      <c r="A7" s="34">
        <v>4</v>
      </c>
      <c r="B7" s="34" t="s">
        <v>42</v>
      </c>
      <c r="C7" s="45">
        <v>4</v>
      </c>
      <c r="D7" s="45">
        <v>2</v>
      </c>
      <c r="E7" s="45">
        <v>3</v>
      </c>
      <c r="F7" s="45">
        <v>4</v>
      </c>
      <c r="G7" s="45">
        <v>4</v>
      </c>
      <c r="H7" s="45">
        <v>5</v>
      </c>
      <c r="I7" s="45">
        <f>SUM(C7:H7)</f>
        <v>22</v>
      </c>
      <c r="J7" s="45">
        <f>RANK(I7,$I$4:$I$11,0)</f>
        <v>8</v>
      </c>
      <c r="L7" s="34">
        <v>4</v>
      </c>
      <c r="M7" s="34" t="str">
        <f>VLOOKUP($L7,$A$3:$J$11,2)</f>
        <v>指原</v>
      </c>
      <c r="N7" s="34">
        <f>VLOOKUP(L7,$A$3:$J$11,$N$3-1)</f>
        <v>4</v>
      </c>
      <c r="T7" s="47"/>
      <c r="U7" s="47"/>
      <c r="V7" s="47"/>
      <c r="W7" s="47"/>
      <c r="X7" s="47"/>
      <c r="Y7" s="47"/>
      <c r="Z7" s="47"/>
      <c r="AA7" s="47"/>
    </row>
    <row r="8" spans="1:27">
      <c r="A8" s="34">
        <v>5</v>
      </c>
      <c r="B8" s="34" t="s">
        <v>41</v>
      </c>
      <c r="C8" s="45">
        <v>8</v>
      </c>
      <c r="D8" s="45">
        <v>10</v>
      </c>
      <c r="E8" s="45">
        <v>7</v>
      </c>
      <c r="F8" s="45">
        <v>8</v>
      </c>
      <c r="G8" s="45">
        <v>7</v>
      </c>
      <c r="H8" s="45">
        <v>8</v>
      </c>
      <c r="I8" s="45">
        <f>SUM(C8:H8)</f>
        <v>48</v>
      </c>
      <c r="J8" s="45">
        <f>RANK(I8,$I$4:$I$11,0)</f>
        <v>5</v>
      </c>
      <c r="L8" s="34">
        <v>5</v>
      </c>
      <c r="M8" s="34" t="str">
        <f>VLOOKUP($L8,$A$3:$J$11,2)</f>
        <v>篠田</v>
      </c>
      <c r="N8" s="34">
        <f>VLOOKUP(L8,$A$3:$J$11,$N$3-1)</f>
        <v>8</v>
      </c>
      <c r="T8" s="47"/>
      <c r="U8" s="47"/>
      <c r="V8" s="47"/>
      <c r="W8" s="47"/>
      <c r="X8" s="47"/>
      <c r="Y8" s="47"/>
      <c r="Z8" s="47"/>
      <c r="AA8" s="47"/>
    </row>
    <row r="9" spans="1:27">
      <c r="A9" s="34">
        <v>6</v>
      </c>
      <c r="B9" s="34" t="s">
        <v>40</v>
      </c>
      <c r="C9" s="45">
        <v>10</v>
      </c>
      <c r="D9" s="45">
        <v>8</v>
      </c>
      <c r="E9" s="45">
        <v>9</v>
      </c>
      <c r="F9" s="45">
        <v>11</v>
      </c>
      <c r="G9" s="45">
        <v>8</v>
      </c>
      <c r="H9" s="45">
        <v>7</v>
      </c>
      <c r="I9" s="45">
        <f>SUM(C9:H9)</f>
        <v>53</v>
      </c>
      <c r="J9" s="45">
        <f>RANK(I9,$I$4:$I$11,0)</f>
        <v>3</v>
      </c>
      <c r="L9" s="34">
        <v>6</v>
      </c>
      <c r="M9" s="34" t="str">
        <f>VLOOKUP($L9,$A$3:$J$11,2)</f>
        <v>高橋</v>
      </c>
      <c r="N9" s="34">
        <f>VLOOKUP(L9,$A$3:$J$11,$N$3-1)</f>
        <v>10</v>
      </c>
      <c r="T9" s="47"/>
      <c r="U9" s="47"/>
      <c r="V9" s="47"/>
      <c r="W9" s="47"/>
      <c r="X9" s="47"/>
      <c r="Y9" s="47"/>
      <c r="Z9" s="47"/>
      <c r="AA9" s="47"/>
    </row>
    <row r="10" spans="1:27">
      <c r="A10" s="34">
        <v>7</v>
      </c>
      <c r="B10" s="34" t="s">
        <v>66</v>
      </c>
      <c r="C10" s="45">
        <v>7</v>
      </c>
      <c r="D10" s="45">
        <v>8</v>
      </c>
      <c r="E10" s="45">
        <v>7</v>
      </c>
      <c r="F10" s="45">
        <v>8</v>
      </c>
      <c r="G10" s="45">
        <v>7</v>
      </c>
      <c r="H10" s="45">
        <v>6</v>
      </c>
      <c r="I10" s="45">
        <f>SUM(C10:H10)</f>
        <v>43</v>
      </c>
      <c r="J10" s="45">
        <f>RANK(I10,$I$4:$I$11,0)</f>
        <v>6</v>
      </c>
      <c r="L10" s="34">
        <v>7</v>
      </c>
      <c r="M10" s="34" t="str">
        <f>VLOOKUP($L10,$A$3:$J$11,2)</f>
        <v>小嶋</v>
      </c>
      <c r="N10" s="34">
        <f>VLOOKUP(L10,$A$3:$J$11,$N$3-1)</f>
        <v>7</v>
      </c>
      <c r="T10" s="47"/>
      <c r="U10" s="47"/>
      <c r="V10" s="47"/>
      <c r="W10" s="47"/>
      <c r="X10" s="47"/>
      <c r="Y10" s="47"/>
      <c r="Z10" s="47"/>
      <c r="AA10" s="47"/>
    </row>
    <row r="11" spans="1:27">
      <c r="A11" s="34">
        <v>8</v>
      </c>
      <c r="B11" s="34" t="s">
        <v>38</v>
      </c>
      <c r="C11" s="45">
        <v>10</v>
      </c>
      <c r="D11" s="45">
        <v>9</v>
      </c>
      <c r="E11" s="45">
        <v>11</v>
      </c>
      <c r="F11" s="45">
        <v>13</v>
      </c>
      <c r="G11" s="45">
        <v>12</v>
      </c>
      <c r="H11" s="45">
        <v>14</v>
      </c>
      <c r="I11" s="45">
        <f>SUM(C11:H11)</f>
        <v>69</v>
      </c>
      <c r="J11" s="45">
        <f>RANK(I11,$I$4:$I$11,0)</f>
        <v>1</v>
      </c>
      <c r="L11" s="34">
        <v>8</v>
      </c>
      <c r="M11" s="34" t="str">
        <f>VLOOKUP($L11,$A$3:$J$11,2)</f>
        <v>板野</v>
      </c>
      <c r="N11" s="34">
        <f>VLOOKUP(L11,$A$3:$J$11,$N$3-1)</f>
        <v>10</v>
      </c>
      <c r="T11" s="47"/>
      <c r="U11" s="47"/>
      <c r="V11" s="47"/>
      <c r="W11" s="47"/>
      <c r="X11" s="47"/>
      <c r="Y11" s="47"/>
      <c r="Z11" s="47"/>
      <c r="AA11" s="47"/>
    </row>
    <row r="12" spans="1:27">
      <c r="B12" s="17" t="s">
        <v>65</v>
      </c>
      <c r="I12" s="49"/>
      <c r="T12" s="47"/>
      <c r="U12" s="47"/>
      <c r="V12" s="47"/>
      <c r="W12" s="47"/>
      <c r="X12" s="47"/>
      <c r="Y12" s="47"/>
      <c r="Z12" s="47"/>
      <c r="AA12" s="47"/>
    </row>
    <row r="13" spans="1:27">
      <c r="L13" s="17" t="s">
        <v>64</v>
      </c>
      <c r="T13" s="47"/>
      <c r="U13" s="47"/>
      <c r="V13" s="47"/>
      <c r="W13" s="47"/>
      <c r="X13" s="47"/>
      <c r="Y13" s="47"/>
      <c r="Z13" s="47"/>
      <c r="AA13" s="47"/>
    </row>
    <row r="14" spans="1:27">
      <c r="L14" s="48" t="s">
        <v>63</v>
      </c>
      <c r="T14" s="47"/>
      <c r="U14" s="47"/>
      <c r="V14" s="47"/>
      <c r="W14" s="47"/>
      <c r="X14" s="47"/>
      <c r="Y14" s="47"/>
      <c r="Z14" s="47"/>
      <c r="AA14" s="47"/>
    </row>
    <row r="15" spans="1:27">
      <c r="B15" s="19" t="s">
        <v>26</v>
      </c>
      <c r="C15" s="19" t="s">
        <v>25</v>
      </c>
      <c r="D15" s="19"/>
      <c r="E15" s="19"/>
      <c r="F15" s="19"/>
      <c r="T15" s="47"/>
      <c r="U15" s="47"/>
      <c r="V15" s="47"/>
      <c r="W15" s="47"/>
      <c r="X15" s="47"/>
      <c r="Y15" s="47"/>
      <c r="Z15" s="47"/>
      <c r="AA15" s="47"/>
    </row>
    <row r="16" spans="1:27">
      <c r="B16" s="19"/>
      <c r="C16" s="20" t="s">
        <v>24</v>
      </c>
      <c r="D16" s="19"/>
      <c r="E16" s="19"/>
      <c r="F16" s="19"/>
      <c r="T16" s="47"/>
      <c r="U16" s="47"/>
      <c r="V16" s="47"/>
      <c r="W16" s="47"/>
      <c r="X16" s="47"/>
      <c r="Y16" s="47"/>
      <c r="Z16" s="47"/>
      <c r="AA16" s="47"/>
    </row>
    <row r="17" spans="2:27">
      <c r="B17" s="19"/>
      <c r="C17" s="20" t="s">
        <v>23</v>
      </c>
      <c r="D17" s="19"/>
      <c r="E17" s="19"/>
      <c r="F17" s="19"/>
      <c r="T17" s="47"/>
      <c r="U17" s="47"/>
      <c r="V17" s="47"/>
      <c r="W17" s="47"/>
      <c r="X17" s="47"/>
      <c r="Y17" s="47"/>
      <c r="Z17" s="47"/>
      <c r="AA17" s="47"/>
    </row>
    <row r="18" spans="2:27">
      <c r="B18" s="19"/>
      <c r="C18" s="20" t="s">
        <v>22</v>
      </c>
      <c r="D18" s="19"/>
      <c r="E18" s="19"/>
      <c r="F18" s="19"/>
      <c r="T18" s="47"/>
      <c r="U18" s="47"/>
      <c r="V18" s="47"/>
      <c r="W18" s="47"/>
      <c r="X18" s="47"/>
      <c r="Y18" s="47"/>
      <c r="Z18" s="47"/>
      <c r="AA18" s="47"/>
    </row>
    <row r="19" spans="2:27">
      <c r="B19" s="19"/>
      <c r="C19" s="20" t="s">
        <v>21</v>
      </c>
      <c r="D19" s="19"/>
      <c r="E19" s="19"/>
      <c r="F19" s="19"/>
      <c r="T19" s="47"/>
      <c r="U19" s="47"/>
      <c r="V19" s="47"/>
      <c r="W19" s="47"/>
      <c r="X19" s="47"/>
      <c r="Y19" s="47"/>
      <c r="Z19" s="47"/>
      <c r="AA19" s="47"/>
    </row>
    <row r="20" spans="2:27">
      <c r="B20" s="19"/>
      <c r="C20" s="20" t="s">
        <v>20</v>
      </c>
      <c r="D20" s="19"/>
      <c r="E20" s="19"/>
      <c r="F20" s="19"/>
      <c r="T20" s="47"/>
      <c r="U20" s="47"/>
      <c r="V20" s="47"/>
      <c r="W20" s="47"/>
      <c r="X20" s="47"/>
      <c r="Y20" s="47"/>
      <c r="Z20" s="47"/>
      <c r="AA20" s="47"/>
    </row>
    <row r="21" spans="2:27">
      <c r="B21" s="19"/>
      <c r="C21" s="19"/>
      <c r="D21" s="19"/>
      <c r="E21" s="19"/>
      <c r="F21" s="19"/>
      <c r="T21" s="47"/>
      <c r="U21" s="47"/>
      <c r="V21" s="47"/>
      <c r="W21" s="47"/>
      <c r="X21" s="47"/>
      <c r="Y21" s="47"/>
      <c r="Z21" s="47"/>
      <c r="AA21" s="47"/>
    </row>
    <row r="22" spans="2:27">
      <c r="B22" s="19"/>
      <c r="C22" s="20" t="s">
        <v>19</v>
      </c>
      <c r="D22" s="19"/>
      <c r="E22" s="19"/>
      <c r="F22" s="19"/>
      <c r="T22" s="47"/>
      <c r="U22" s="47"/>
      <c r="V22" s="47"/>
      <c r="W22" s="47"/>
      <c r="X22" s="47"/>
      <c r="Y22" s="47"/>
      <c r="Z22" s="47"/>
      <c r="AA22" s="47"/>
    </row>
    <row r="23" spans="2:27">
      <c r="B23" s="19"/>
      <c r="C23" s="20" t="s">
        <v>18</v>
      </c>
      <c r="D23" s="19"/>
      <c r="E23" s="19"/>
      <c r="F23" s="19"/>
      <c r="L23" s="17" t="s">
        <v>62</v>
      </c>
      <c r="M23" s="17" t="s">
        <v>61</v>
      </c>
      <c r="O23" s="17" t="s">
        <v>60</v>
      </c>
      <c r="R23" s="17" t="s">
        <v>59</v>
      </c>
      <c r="T23" s="47"/>
      <c r="U23" s="47"/>
      <c r="V23" s="47"/>
      <c r="W23" s="47"/>
      <c r="X23" s="47"/>
      <c r="Y23" s="47"/>
      <c r="Z23" s="47"/>
      <c r="AA23" s="47"/>
    </row>
    <row r="24" spans="2:27">
      <c r="B24" s="19"/>
      <c r="C24" s="19"/>
      <c r="D24" s="19"/>
      <c r="E24" s="19"/>
      <c r="F24" s="19"/>
      <c r="L24" s="17" t="s">
        <v>58</v>
      </c>
      <c r="M24" s="17" t="s">
        <v>57</v>
      </c>
      <c r="O24" s="17" t="s">
        <v>56</v>
      </c>
      <c r="T24" s="47"/>
      <c r="U24" s="47"/>
      <c r="V24" s="47"/>
      <c r="W24" s="47"/>
      <c r="X24" s="47"/>
      <c r="Y24" s="47"/>
      <c r="Z24" s="47"/>
      <c r="AA24" s="47"/>
    </row>
    <row r="25" spans="2:27">
      <c r="B25" s="19"/>
      <c r="C25" s="19"/>
      <c r="D25" s="19"/>
      <c r="E25" s="19"/>
      <c r="F25" s="19"/>
      <c r="O25" s="17" t="s">
        <v>55</v>
      </c>
    </row>
    <row r="26" spans="2:27">
      <c r="L26" s="17" t="s">
        <v>54</v>
      </c>
    </row>
    <row r="27" spans="2:27">
      <c r="L27" s="17" t="s">
        <v>53</v>
      </c>
    </row>
    <row r="29" spans="2:27">
      <c r="B29" s="19"/>
      <c r="C29" s="19"/>
      <c r="D29" s="19"/>
      <c r="E29" s="19"/>
      <c r="F29" s="19"/>
      <c r="G29" s="19"/>
      <c r="H29" s="19"/>
      <c r="I29" s="19"/>
      <c r="J29" s="19"/>
    </row>
    <row r="30" spans="2:27">
      <c r="B30" s="19"/>
      <c r="C30" s="19"/>
      <c r="D30" s="19"/>
      <c r="E30" s="19"/>
      <c r="F30" s="19"/>
      <c r="G30" s="19"/>
      <c r="H30" s="19"/>
      <c r="I30" s="19"/>
      <c r="J30" s="19"/>
    </row>
    <row r="31" spans="2:27">
      <c r="B31" s="19"/>
      <c r="C31" s="19"/>
      <c r="D31" s="19"/>
      <c r="E31" s="19"/>
      <c r="F31" s="19"/>
      <c r="G31" s="19"/>
      <c r="H31" s="19"/>
      <c r="I31" s="19"/>
      <c r="J31" s="19"/>
    </row>
    <row r="32" spans="2:27">
      <c r="B32" s="19"/>
      <c r="C32" s="20" t="s">
        <v>17</v>
      </c>
      <c r="D32" s="19"/>
      <c r="E32" s="19"/>
      <c r="F32" s="19"/>
      <c r="G32" s="19"/>
      <c r="H32" s="19"/>
      <c r="I32" s="19"/>
      <c r="J32" s="19"/>
    </row>
    <row r="33" spans="2:10">
      <c r="B33" s="19"/>
      <c r="C33" s="20" t="s">
        <v>16</v>
      </c>
      <c r="D33" s="19"/>
      <c r="E33" s="19"/>
      <c r="F33" s="19"/>
      <c r="G33" s="19"/>
      <c r="H33" s="19"/>
      <c r="I33" s="19"/>
      <c r="J33" s="19"/>
    </row>
    <row r="34" spans="2:10">
      <c r="B34" s="19"/>
      <c r="C34" s="19"/>
      <c r="D34" s="19"/>
      <c r="E34" s="19"/>
      <c r="F34" s="19"/>
      <c r="G34" s="19"/>
      <c r="H34" s="19"/>
      <c r="I34" s="19"/>
      <c r="J34" s="19"/>
    </row>
    <row r="35" spans="2:10">
      <c r="B35" s="19"/>
      <c r="C35" s="19"/>
      <c r="D35" s="19"/>
      <c r="E35" s="19"/>
      <c r="F35" s="19"/>
      <c r="G35" s="19"/>
      <c r="H35" s="19"/>
      <c r="I35" s="19"/>
      <c r="J35" s="19"/>
    </row>
    <row r="36" spans="2:10">
      <c r="B36" s="19"/>
      <c r="C36" s="19"/>
      <c r="D36" s="19"/>
      <c r="E36" s="19"/>
      <c r="F36" s="19"/>
      <c r="G36" s="19"/>
      <c r="H36" s="19"/>
      <c r="I36" s="19"/>
      <c r="J36" s="19"/>
    </row>
  </sheetData>
  <mergeCells count="2">
    <mergeCell ref="B1:H1"/>
    <mergeCell ref="B2:H2"/>
  </mergeCells>
  <phoneticPr fontId="1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Emergen">
                <anchor moveWithCells="1" sizeWithCells="1">
                  <from>
                    <xdr:col>15</xdr:col>
                    <xdr:colOff>678180</xdr:colOff>
                    <xdr:row>2</xdr:row>
                    <xdr:rowOff>0</xdr:rowOff>
                  </from>
                  <to>
                    <xdr:col>18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nEmergen">
                <anchor moveWithCells="1" sizeWithCells="1">
                  <from>
                    <xdr:col>15</xdr:col>
                    <xdr:colOff>678180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1AAC-E343-4D51-95B4-57915A3894E9}">
  <sheetPr codeName="Sheet2"/>
  <dimension ref="A2:I13"/>
  <sheetViews>
    <sheetView workbookViewId="0">
      <selection activeCell="T14" sqref="T14:T15"/>
    </sheetView>
  </sheetViews>
  <sheetFormatPr defaultColWidth="8.09765625" defaultRowHeight="18"/>
  <cols>
    <col min="1" max="1" width="8.09765625" style="17"/>
    <col min="2" max="39" width="6" style="17" customWidth="1"/>
    <col min="40" max="16384" width="8.09765625" style="17"/>
  </cols>
  <sheetData>
    <row r="2" spans="1:9">
      <c r="A2" s="44" t="s">
        <v>45</v>
      </c>
      <c r="B2" s="44"/>
      <c r="C2" s="44"/>
      <c r="D2" s="44"/>
      <c r="E2" s="44"/>
      <c r="F2" s="44"/>
      <c r="G2" s="44"/>
    </row>
    <row r="3" spans="1:9" ht="13.5" customHeight="1">
      <c r="A3" s="46"/>
      <c r="B3" s="46"/>
      <c r="C3" s="46"/>
      <c r="D3" s="46"/>
      <c r="E3" s="46"/>
      <c r="F3" s="46"/>
      <c r="G3" s="46"/>
    </row>
    <row r="4" spans="1:9">
      <c r="A4" s="35" t="s">
        <v>37</v>
      </c>
      <c r="B4" s="35" t="s">
        <v>52</v>
      </c>
      <c r="C4" s="35" t="s">
        <v>51</v>
      </c>
      <c r="D4" s="35" t="s">
        <v>50</v>
      </c>
      <c r="E4" s="35" t="s">
        <v>49</v>
      </c>
      <c r="F4" s="35" t="s">
        <v>48</v>
      </c>
      <c r="G4" s="35" t="s">
        <v>47</v>
      </c>
      <c r="H4" s="35" t="s">
        <v>30</v>
      </c>
      <c r="I4" s="35" t="s">
        <v>29</v>
      </c>
    </row>
    <row r="5" spans="1:9" ht="20.100000000000001" customHeight="1">
      <c r="A5" s="34" t="s">
        <v>46</v>
      </c>
      <c r="B5" s="45">
        <v>9</v>
      </c>
      <c r="C5" s="45">
        <v>7</v>
      </c>
      <c r="D5" s="45">
        <v>11</v>
      </c>
      <c r="E5" s="45">
        <v>6</v>
      </c>
      <c r="F5" s="45">
        <v>8</v>
      </c>
      <c r="G5" s="45">
        <v>9</v>
      </c>
      <c r="H5" s="45" ph="1"/>
      <c r="I5" s="45"/>
    </row>
    <row r="6" spans="1:9" ht="20.100000000000001" customHeight="1">
      <c r="A6" s="34" t="s">
        <v>44</v>
      </c>
      <c r="B6" s="45">
        <v>7</v>
      </c>
      <c r="C6" s="45">
        <v>5</v>
      </c>
      <c r="D6" s="45">
        <v>6</v>
      </c>
      <c r="E6" s="45">
        <v>9</v>
      </c>
      <c r="F6" s="45">
        <v>3</v>
      </c>
      <c r="G6" s="45">
        <v>12</v>
      </c>
      <c r="H6" s="45"/>
      <c r="I6" s="45"/>
    </row>
    <row r="7" spans="1:9" ht="20.100000000000001" customHeight="1">
      <c r="A7" s="34" t="s">
        <v>43</v>
      </c>
      <c r="B7" s="45">
        <v>11</v>
      </c>
      <c r="C7" s="45">
        <v>8</v>
      </c>
      <c r="D7" s="45">
        <v>7</v>
      </c>
      <c r="E7" s="45">
        <v>12</v>
      </c>
      <c r="F7" s="45">
        <v>11</v>
      </c>
      <c r="G7" s="45">
        <v>13</v>
      </c>
      <c r="H7" s="45"/>
      <c r="I7" s="45"/>
    </row>
    <row r="8" spans="1:9" ht="20.100000000000001" customHeight="1">
      <c r="A8" s="34" t="s">
        <v>42</v>
      </c>
      <c r="B8" s="45">
        <v>4</v>
      </c>
      <c r="C8" s="45">
        <v>2</v>
      </c>
      <c r="D8" s="45">
        <v>3</v>
      </c>
      <c r="E8" s="45">
        <v>4</v>
      </c>
      <c r="F8" s="45">
        <v>4</v>
      </c>
      <c r="G8" s="45">
        <v>5</v>
      </c>
      <c r="H8" s="45"/>
      <c r="I8" s="45"/>
    </row>
    <row r="9" spans="1:9" ht="20.100000000000001" customHeight="1">
      <c r="A9" s="34" t="s">
        <v>41</v>
      </c>
      <c r="B9" s="45">
        <v>8</v>
      </c>
      <c r="C9" s="45">
        <v>10</v>
      </c>
      <c r="D9" s="45">
        <v>7</v>
      </c>
      <c r="E9" s="45">
        <v>8</v>
      </c>
      <c r="F9" s="45">
        <v>7</v>
      </c>
      <c r="G9" s="45">
        <v>8</v>
      </c>
      <c r="H9" s="45"/>
      <c r="I9" s="45"/>
    </row>
    <row r="10" spans="1:9" ht="20.100000000000001" customHeight="1">
      <c r="A10" s="34" t="s">
        <v>40</v>
      </c>
      <c r="B10" s="45">
        <v>10</v>
      </c>
      <c r="C10" s="45">
        <v>8</v>
      </c>
      <c r="D10" s="45">
        <v>9</v>
      </c>
      <c r="E10" s="45">
        <v>11</v>
      </c>
      <c r="F10" s="45">
        <v>8</v>
      </c>
      <c r="G10" s="45">
        <v>7</v>
      </c>
      <c r="H10" s="45"/>
      <c r="I10" s="45"/>
    </row>
    <row r="11" spans="1:9" ht="20.100000000000001" customHeight="1">
      <c r="A11" s="34" t="s">
        <v>39</v>
      </c>
      <c r="B11" s="45">
        <v>7</v>
      </c>
      <c r="C11" s="45">
        <v>8</v>
      </c>
      <c r="D11" s="45">
        <v>7</v>
      </c>
      <c r="E11" s="45">
        <v>8</v>
      </c>
      <c r="F11" s="45">
        <v>7</v>
      </c>
      <c r="G11" s="45">
        <v>6</v>
      </c>
      <c r="H11" s="45"/>
      <c r="I11" s="45"/>
    </row>
    <row r="12" spans="1:9" ht="20.100000000000001" customHeight="1">
      <c r="A12" s="34" t="s">
        <v>38</v>
      </c>
      <c r="B12" s="45">
        <v>10</v>
      </c>
      <c r="C12" s="45">
        <v>9</v>
      </c>
      <c r="D12" s="45">
        <v>11</v>
      </c>
      <c r="E12" s="45">
        <v>13</v>
      </c>
      <c r="F12" s="45">
        <v>12</v>
      </c>
      <c r="G12" s="45">
        <v>14</v>
      </c>
      <c r="H12" s="45"/>
      <c r="I12" s="45"/>
    </row>
    <row r="13" spans="1:9" ht="13.5" customHeight="1"/>
  </sheetData>
  <mergeCells count="1">
    <mergeCell ref="A2:G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ECA2F-8833-467A-A3B7-5598B6F990FE}">
  <sheetPr codeName="Sheet3"/>
  <dimension ref="A1:L47"/>
  <sheetViews>
    <sheetView workbookViewId="0">
      <selection activeCell="I24" sqref="I24"/>
    </sheetView>
  </sheetViews>
  <sheetFormatPr defaultColWidth="8.09765625" defaultRowHeight="18"/>
  <cols>
    <col min="1" max="1" width="4" style="17" customWidth="1"/>
    <col min="2" max="2" width="9.19921875" style="17" customWidth="1"/>
    <col min="3" max="10" width="6" style="17" customWidth="1"/>
    <col min="11" max="16384" width="8.09765625" style="17"/>
  </cols>
  <sheetData>
    <row r="1" spans="1:12">
      <c r="B1" s="44" t="s">
        <v>45</v>
      </c>
      <c r="C1" s="44"/>
      <c r="D1" s="44"/>
      <c r="E1" s="44"/>
      <c r="F1" s="44"/>
      <c r="G1" s="44"/>
      <c r="H1" s="44"/>
    </row>
    <row r="2" spans="1:12">
      <c r="B2" s="43"/>
      <c r="C2" s="43"/>
      <c r="D2" s="43"/>
      <c r="E2" s="43"/>
      <c r="F2" s="43"/>
      <c r="G2" s="43"/>
      <c r="H2" s="43"/>
    </row>
    <row r="3" spans="1:12" ht="21.75" customHeight="1">
      <c r="A3" s="35"/>
      <c r="B3" s="35" t="s">
        <v>37</v>
      </c>
      <c r="C3" s="35" t="s">
        <v>36</v>
      </c>
      <c r="D3" s="35" t="s">
        <v>35</v>
      </c>
      <c r="E3" s="35" t="s">
        <v>34</v>
      </c>
      <c r="F3" s="35" t="s">
        <v>33</v>
      </c>
      <c r="G3" s="35" t="s">
        <v>32</v>
      </c>
      <c r="H3" s="35" t="s">
        <v>31</v>
      </c>
      <c r="I3" s="35" t="s">
        <v>30</v>
      </c>
      <c r="J3" s="35" t="s">
        <v>29</v>
      </c>
      <c r="K3" s="36"/>
    </row>
    <row r="4" spans="1:12" ht="21.75" customHeight="1">
      <c r="A4" s="42">
        <v>1</v>
      </c>
      <c r="B4" s="42" t="s">
        <v>28</v>
      </c>
      <c r="C4" s="41">
        <v>9</v>
      </c>
      <c r="D4" s="41">
        <v>7</v>
      </c>
      <c r="E4" s="41">
        <v>11</v>
      </c>
      <c r="F4" s="41">
        <v>6</v>
      </c>
      <c r="G4" s="41">
        <v>8</v>
      </c>
      <c r="H4" s="41">
        <v>9</v>
      </c>
      <c r="I4" s="41"/>
      <c r="J4" s="41"/>
      <c r="K4" s="36"/>
    </row>
    <row r="5" spans="1:12" ht="21.75" customHeight="1">
      <c r="A5" s="40">
        <v>2</v>
      </c>
      <c r="B5" s="40" t="s">
        <v>44</v>
      </c>
      <c r="C5" s="39">
        <v>7</v>
      </c>
      <c r="D5" s="39">
        <v>5</v>
      </c>
      <c r="E5" s="39">
        <v>6</v>
      </c>
      <c r="F5" s="39">
        <v>9</v>
      </c>
      <c r="G5" s="39">
        <v>3</v>
      </c>
      <c r="H5" s="39">
        <v>12</v>
      </c>
      <c r="I5" s="39"/>
      <c r="J5" s="39"/>
      <c r="K5" s="36"/>
    </row>
    <row r="6" spans="1:12" ht="21.75" customHeight="1">
      <c r="A6" s="40">
        <v>3</v>
      </c>
      <c r="B6" s="40" t="s">
        <v>43</v>
      </c>
      <c r="C6" s="39">
        <v>11</v>
      </c>
      <c r="D6" s="39">
        <v>8</v>
      </c>
      <c r="E6" s="39">
        <v>7</v>
      </c>
      <c r="F6" s="39">
        <v>12</v>
      </c>
      <c r="G6" s="39">
        <v>11</v>
      </c>
      <c r="H6" s="39">
        <v>13</v>
      </c>
      <c r="I6" s="39"/>
      <c r="J6" s="39"/>
      <c r="K6" s="36"/>
    </row>
    <row r="7" spans="1:12" ht="21.75" customHeight="1">
      <c r="A7" s="40">
        <v>4</v>
      </c>
      <c r="B7" s="40" t="s">
        <v>42</v>
      </c>
      <c r="C7" s="39">
        <v>4</v>
      </c>
      <c r="D7" s="39">
        <v>2</v>
      </c>
      <c r="E7" s="39">
        <v>3</v>
      </c>
      <c r="F7" s="39">
        <v>4</v>
      </c>
      <c r="G7" s="39">
        <v>4</v>
      </c>
      <c r="H7" s="39">
        <v>5</v>
      </c>
      <c r="I7" s="39"/>
      <c r="J7" s="39"/>
      <c r="K7" s="36"/>
    </row>
    <row r="8" spans="1:12" ht="21.75" customHeight="1">
      <c r="A8" s="40">
        <v>5</v>
      </c>
      <c r="B8" s="40" t="s">
        <v>41</v>
      </c>
      <c r="C8" s="39">
        <v>8</v>
      </c>
      <c r="D8" s="39">
        <v>10</v>
      </c>
      <c r="E8" s="39">
        <v>7</v>
      </c>
      <c r="F8" s="39">
        <v>8</v>
      </c>
      <c r="G8" s="39">
        <v>7</v>
      </c>
      <c r="H8" s="39">
        <v>8</v>
      </c>
      <c r="I8" s="39"/>
      <c r="J8" s="39"/>
      <c r="K8" s="36"/>
    </row>
    <row r="9" spans="1:12" ht="21.75" customHeight="1">
      <c r="A9" s="40">
        <v>6</v>
      </c>
      <c r="B9" s="40" t="s">
        <v>40</v>
      </c>
      <c r="C9" s="39">
        <v>10</v>
      </c>
      <c r="D9" s="39">
        <v>8</v>
      </c>
      <c r="E9" s="39">
        <v>9</v>
      </c>
      <c r="F9" s="39">
        <v>11</v>
      </c>
      <c r="G9" s="39">
        <v>8</v>
      </c>
      <c r="H9" s="39">
        <v>7</v>
      </c>
      <c r="I9" s="39"/>
      <c r="J9" s="39"/>
      <c r="K9" s="36"/>
    </row>
    <row r="10" spans="1:12" ht="21.75" customHeight="1">
      <c r="A10" s="40">
        <v>7</v>
      </c>
      <c r="B10" s="40" t="s">
        <v>39</v>
      </c>
      <c r="C10" s="39">
        <v>7</v>
      </c>
      <c r="D10" s="39">
        <v>8</v>
      </c>
      <c r="E10" s="39">
        <v>7</v>
      </c>
      <c r="F10" s="39">
        <v>8</v>
      </c>
      <c r="G10" s="39">
        <v>7</v>
      </c>
      <c r="H10" s="39">
        <v>6</v>
      </c>
      <c r="I10" s="39"/>
      <c r="J10" s="39"/>
      <c r="K10" s="36"/>
    </row>
    <row r="11" spans="1:12" ht="21.75" customHeight="1">
      <c r="A11" s="38">
        <v>8</v>
      </c>
      <c r="B11" s="38" t="s">
        <v>38</v>
      </c>
      <c r="C11" s="37">
        <v>10</v>
      </c>
      <c r="D11" s="37">
        <v>9</v>
      </c>
      <c r="E11" s="37">
        <v>11</v>
      </c>
      <c r="F11" s="37">
        <v>13</v>
      </c>
      <c r="G11" s="37">
        <v>12</v>
      </c>
      <c r="H11" s="37">
        <v>14</v>
      </c>
      <c r="I11" s="37"/>
      <c r="J11" s="37"/>
      <c r="K11" s="36"/>
    </row>
    <row r="13" spans="1:12">
      <c r="A13" s="35"/>
      <c r="B13" s="35" t="s">
        <v>37</v>
      </c>
      <c r="C13" s="35" t="s">
        <v>36</v>
      </c>
      <c r="D13" s="35" t="s">
        <v>35</v>
      </c>
      <c r="E13" s="35" t="s">
        <v>34</v>
      </c>
      <c r="F13" s="35" t="s">
        <v>33</v>
      </c>
      <c r="G13" s="35" t="s">
        <v>32</v>
      </c>
      <c r="H13" s="35" t="s">
        <v>31</v>
      </c>
      <c r="I13" s="35" t="s">
        <v>30</v>
      </c>
      <c r="J13" s="35" t="s">
        <v>29</v>
      </c>
    </row>
    <row r="14" spans="1:12" ht="25.5" customHeight="1">
      <c r="A14" s="32"/>
      <c r="B14" s="34" t="s">
        <v>28</v>
      </c>
      <c r="C14" s="33">
        <f>VLOOKUP(B14,B4:J11,2)</f>
        <v>7</v>
      </c>
      <c r="D14" s="32"/>
      <c r="E14" s="32"/>
      <c r="F14" s="32"/>
      <c r="G14" s="32"/>
      <c r="H14" s="32"/>
      <c r="I14" s="32"/>
      <c r="J14" s="32"/>
      <c r="K14" s="31"/>
      <c r="L14" s="18"/>
    </row>
    <row r="15" spans="1:12" ht="26.25" customHeight="1">
      <c r="A15" s="19">
        <f>INDEX($A$4:$A$11,MATCH(B14,$B$4:$B$11,0))</f>
        <v>1</v>
      </c>
      <c r="B15" s="19" t="s">
        <v>27</v>
      </c>
      <c r="C15" s="19"/>
      <c r="D15" s="19"/>
      <c r="E15" s="19"/>
      <c r="F15" s="19"/>
      <c r="G15" s="19"/>
      <c r="H15" s="19"/>
      <c r="I15" s="19"/>
      <c r="J15" s="19"/>
      <c r="K15" s="18"/>
      <c r="L15" s="18"/>
    </row>
    <row r="16" spans="1:12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8"/>
      <c r="L16" s="18"/>
    </row>
    <row r="17" spans="1:12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8"/>
      <c r="L17" s="18"/>
    </row>
    <row r="18" spans="1:12" ht="18.600000000000001" thickBot="1">
      <c r="A18" s="19"/>
      <c r="B18" s="19" t="s">
        <v>26</v>
      </c>
      <c r="C18" s="19" t="s">
        <v>25</v>
      </c>
      <c r="D18" s="19"/>
      <c r="E18" s="19"/>
      <c r="F18" s="19"/>
      <c r="G18" s="19"/>
      <c r="H18" s="19"/>
      <c r="I18" s="19"/>
      <c r="J18" s="19"/>
      <c r="K18" s="18"/>
      <c r="L18" s="18"/>
    </row>
    <row r="19" spans="1:12">
      <c r="A19" s="19"/>
      <c r="B19" s="19"/>
      <c r="C19" s="30" t="s">
        <v>24</v>
      </c>
      <c r="D19" s="29"/>
      <c r="E19" s="19"/>
      <c r="F19" s="19"/>
      <c r="G19" s="19"/>
      <c r="H19" s="19"/>
      <c r="I19" s="19"/>
      <c r="J19" s="19"/>
      <c r="K19" s="18"/>
      <c r="L19" s="18"/>
    </row>
    <row r="20" spans="1:12">
      <c r="A20" s="19"/>
      <c r="B20" s="19"/>
      <c r="C20" s="28" t="s">
        <v>23</v>
      </c>
      <c r="D20" s="27"/>
      <c r="E20" s="19"/>
      <c r="F20" s="19"/>
      <c r="G20" s="19"/>
      <c r="H20" s="19"/>
      <c r="I20" s="19"/>
      <c r="J20" s="19"/>
      <c r="K20" s="18"/>
      <c r="L20" s="18"/>
    </row>
    <row r="21" spans="1:12">
      <c r="A21" s="19"/>
      <c r="B21" s="19"/>
      <c r="C21" s="28" t="s">
        <v>22</v>
      </c>
      <c r="D21" s="27"/>
      <c r="E21" s="19"/>
      <c r="F21" s="19"/>
      <c r="G21" s="19"/>
      <c r="H21" s="19"/>
      <c r="I21" s="19"/>
      <c r="J21" s="19"/>
      <c r="K21" s="18"/>
      <c r="L21" s="18"/>
    </row>
    <row r="22" spans="1:12">
      <c r="A22" s="19"/>
      <c r="B22" s="19"/>
      <c r="C22" s="28" t="s">
        <v>21</v>
      </c>
      <c r="D22" s="27"/>
      <c r="E22" s="19"/>
      <c r="F22" s="19"/>
      <c r="G22" s="19"/>
      <c r="H22" s="19"/>
      <c r="I22" s="19"/>
      <c r="J22" s="19"/>
      <c r="K22" s="18"/>
      <c r="L22" s="18"/>
    </row>
    <row r="23" spans="1:12" ht="18.600000000000001" thickBot="1">
      <c r="A23" s="19"/>
      <c r="B23" s="19"/>
      <c r="C23" s="26" t="s">
        <v>20</v>
      </c>
      <c r="D23" s="25"/>
      <c r="E23" s="19"/>
      <c r="F23" s="19"/>
      <c r="G23" s="19"/>
      <c r="H23" s="19"/>
      <c r="I23" s="19"/>
      <c r="J23" s="19"/>
      <c r="K23" s="18"/>
      <c r="L23" s="18"/>
    </row>
    <row r="24" spans="1:12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8"/>
      <c r="L24" s="18"/>
    </row>
    <row r="25" spans="1:12">
      <c r="A25" s="19"/>
      <c r="B25" s="19"/>
      <c r="C25" s="24" t="s">
        <v>19</v>
      </c>
      <c r="D25" s="23"/>
      <c r="E25" s="19"/>
      <c r="F25" s="19"/>
      <c r="G25" s="19"/>
      <c r="H25" s="19"/>
      <c r="I25" s="19"/>
      <c r="J25" s="19"/>
      <c r="K25" s="18"/>
      <c r="L25" s="18"/>
    </row>
    <row r="26" spans="1:12">
      <c r="A26" s="19"/>
      <c r="B26" s="19"/>
      <c r="C26" s="22" t="s">
        <v>18</v>
      </c>
      <c r="D26" s="21"/>
      <c r="E26" s="19"/>
      <c r="F26" s="19"/>
      <c r="G26" s="19"/>
      <c r="H26" s="19"/>
      <c r="I26" s="19"/>
      <c r="J26" s="19"/>
      <c r="K26" s="18"/>
      <c r="L26" s="18"/>
    </row>
    <row r="27" spans="1:12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8"/>
      <c r="L27" s="18"/>
    </row>
    <row r="28" spans="1:12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8"/>
      <c r="L28" s="18"/>
    </row>
    <row r="29" spans="1:12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8"/>
      <c r="L29" s="18"/>
    </row>
    <row r="30" spans="1:12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8"/>
      <c r="L30" s="18"/>
    </row>
    <row r="31" spans="1:12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8"/>
      <c r="L31" s="18"/>
    </row>
    <row r="32" spans="1:12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</row>
    <row r="33" spans="1:12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</row>
    <row r="34" spans="1:12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</row>
    <row r="35" spans="1:12">
      <c r="A35" s="18"/>
      <c r="B35" s="19"/>
      <c r="C35" s="20" t="s">
        <v>17</v>
      </c>
      <c r="D35" s="19"/>
      <c r="E35" s="19"/>
      <c r="F35" s="19"/>
      <c r="G35" s="19"/>
      <c r="H35" s="19"/>
      <c r="I35" s="19"/>
      <c r="J35" s="19"/>
      <c r="K35" s="19"/>
      <c r="L35" s="19"/>
    </row>
    <row r="36" spans="1:12">
      <c r="A36" s="18"/>
      <c r="B36" s="19"/>
      <c r="C36" s="20" t="s">
        <v>16</v>
      </c>
      <c r="D36" s="19"/>
      <c r="E36" s="19"/>
      <c r="F36" s="19"/>
      <c r="G36" s="19"/>
      <c r="H36" s="19"/>
      <c r="I36" s="19"/>
      <c r="J36" s="19"/>
      <c r="K36" s="19"/>
      <c r="L36" s="19"/>
    </row>
    <row r="37" spans="1:12">
      <c r="A37" s="18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</row>
    <row r="38" spans="1:12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</row>
    <row r="39" spans="1:12">
      <c r="A39" s="18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</row>
    <row r="40" spans="1:1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</row>
    <row r="47" spans="1:1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</sheetData>
  <mergeCells count="2">
    <mergeCell ref="B1:H1"/>
    <mergeCell ref="B2:H2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922A9-8259-4BA9-990E-16EC968C7A77}">
  <sheetPr codeName="Sheet4"/>
  <dimension ref="A1:B4"/>
  <sheetViews>
    <sheetView workbookViewId="0">
      <selection activeCell="K8" sqref="K8"/>
    </sheetView>
  </sheetViews>
  <sheetFormatPr defaultRowHeight="18"/>
  <cols>
    <col min="1" max="16384" width="8.796875" style="15"/>
  </cols>
  <sheetData>
    <row r="1" spans="1:2">
      <c r="A1" s="16"/>
      <c r="B1" s="16"/>
    </row>
    <row r="2" spans="1:2">
      <c r="A2" s="16"/>
      <c r="B2" s="16"/>
    </row>
    <row r="3" spans="1:2">
      <c r="A3" s="16"/>
      <c r="B3" s="16"/>
    </row>
    <row r="4" spans="1:2">
      <c r="A4" s="16"/>
      <c r="B4" s="16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autoPict="0" r:id="rId4">
            <anchor moveWithCells="1">
              <from>
                <xdr:col>5</xdr:col>
                <xdr:colOff>30480</xdr:colOff>
                <xdr:row>6</xdr:row>
                <xdr:rowOff>45720</xdr:rowOff>
              </from>
              <to>
                <xdr:col>8</xdr:col>
                <xdr:colOff>525780</xdr:colOff>
                <xdr:row>10</xdr:row>
                <xdr:rowOff>83820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0000"/>
  </sheetPr>
  <dimension ref="A1:I12"/>
  <sheetViews>
    <sheetView workbookViewId="0">
      <selection activeCell="E10" sqref="E10"/>
    </sheetView>
  </sheetViews>
  <sheetFormatPr defaultRowHeight="18"/>
  <sheetData>
    <row r="1" spans="1:9">
      <c r="A1" t="s">
        <v>0</v>
      </c>
    </row>
    <row r="2" spans="1:9">
      <c r="A2" t="s">
        <v>1</v>
      </c>
      <c r="D2" t="s">
        <v>12</v>
      </c>
    </row>
    <row r="3" spans="1:9">
      <c r="A3" t="s">
        <v>2</v>
      </c>
      <c r="D3" s="2" t="s">
        <v>13</v>
      </c>
      <c r="E3" s="1"/>
      <c r="F3" s="1"/>
      <c r="G3" s="1"/>
      <c r="H3" s="1"/>
      <c r="I3" s="1"/>
    </row>
    <row r="4" spans="1:9">
      <c r="A4" t="s">
        <v>3</v>
      </c>
    </row>
    <row r="5" spans="1:9">
      <c r="A5" t="s">
        <v>4</v>
      </c>
    </row>
    <row r="6" spans="1:9">
      <c r="A6" t="s">
        <v>5</v>
      </c>
    </row>
    <row r="7" spans="1:9">
      <c r="A7" t="s">
        <v>6</v>
      </c>
    </row>
    <row r="8" spans="1:9">
      <c r="A8" t="s">
        <v>7</v>
      </c>
    </row>
    <row r="9" spans="1:9">
      <c r="A9" t="s">
        <v>8</v>
      </c>
    </row>
    <row r="10" spans="1:9">
      <c r="A10" t="s">
        <v>9</v>
      </c>
    </row>
    <row r="11" spans="1:9">
      <c r="A11" t="s">
        <v>10</v>
      </c>
    </row>
    <row r="12" spans="1:9">
      <c r="A12" t="s">
        <v>11</v>
      </c>
    </row>
  </sheetData>
  <phoneticPr fontId="1"/>
  <hyperlinks>
    <hyperlink ref="D3" r:id="rId1" display="URL" xr:uid="{00000000-0004-0000-0000-000000000000}"/>
  </hyperlinks>
  <pageMargins left="0.7" right="0.7" top="0.75" bottom="0.75" header="0.3" footer="0.3"/>
  <pageSetup paperSize="9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リストから連続シート作成">
                <anchor moveWithCells="1" sizeWithCells="1">
                  <from>
                    <xdr:col>2</xdr:col>
                    <xdr:colOff>579120</xdr:colOff>
                    <xdr:row>5</xdr:row>
                    <xdr:rowOff>7620</xdr:rowOff>
                  </from>
                  <to>
                    <xdr:col>5</xdr:col>
                    <xdr:colOff>106680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0000"/>
  </sheetPr>
  <dimension ref="A1"/>
  <sheetViews>
    <sheetView workbookViewId="0">
      <selection activeCell="D12" sqref="D12"/>
    </sheetView>
  </sheetViews>
  <sheetFormatPr defaultRowHeight="18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6"/>
  <sheetViews>
    <sheetView workbookViewId="0"/>
  </sheetViews>
  <sheetFormatPr defaultColWidth="9" defaultRowHeight="18"/>
  <cols>
    <col min="1" max="16384" width="9" style="3"/>
  </cols>
  <sheetData>
    <row r="1" spans="1:8" ht="18.75" customHeight="1">
      <c r="F1" s="4"/>
      <c r="G1" s="4"/>
    </row>
    <row r="2" spans="1:8" ht="18.75" customHeight="1" thickBot="1">
      <c r="F2" s="4"/>
      <c r="G2" s="4"/>
    </row>
    <row r="3" spans="1:8" ht="18.75" customHeight="1">
      <c r="D3" s="6" t="s">
        <v>14</v>
      </c>
      <c r="E3" s="7"/>
      <c r="F3" s="7"/>
      <c r="G3" s="7"/>
      <c r="H3" s="8"/>
    </row>
    <row r="4" spans="1:8">
      <c r="A4" s="5" t="s">
        <v>15</v>
      </c>
      <c r="D4" s="9"/>
      <c r="E4" s="10"/>
      <c r="F4" s="10"/>
      <c r="G4" s="10"/>
      <c r="H4" s="11"/>
    </row>
    <row r="5" spans="1:8">
      <c r="D5" s="9"/>
      <c r="E5" s="10"/>
      <c r="F5" s="10"/>
      <c r="G5" s="10"/>
      <c r="H5" s="11"/>
    </row>
    <row r="6" spans="1:8" ht="18.75" customHeight="1">
      <c r="D6" s="9"/>
      <c r="E6" s="10"/>
      <c r="F6" s="10"/>
      <c r="G6" s="10"/>
      <c r="H6" s="11"/>
    </row>
    <row r="7" spans="1:8">
      <c r="D7" s="9"/>
      <c r="E7" s="10"/>
      <c r="F7" s="10"/>
      <c r="G7" s="10"/>
      <c r="H7" s="11"/>
    </row>
    <row r="8" spans="1:8" ht="18.75" customHeight="1">
      <c r="D8" s="9"/>
      <c r="E8" s="10"/>
      <c r="F8" s="10"/>
      <c r="G8" s="10"/>
      <c r="H8" s="11"/>
    </row>
    <row r="9" spans="1:8">
      <c r="D9" s="9"/>
      <c r="E9" s="10"/>
      <c r="F9" s="10"/>
      <c r="G9" s="10"/>
      <c r="H9" s="11"/>
    </row>
    <row r="10" spans="1:8">
      <c r="D10" s="9"/>
      <c r="E10" s="10"/>
      <c r="F10" s="10"/>
      <c r="G10" s="10"/>
      <c r="H10" s="11"/>
    </row>
    <row r="11" spans="1:8">
      <c r="D11" s="9"/>
      <c r="E11" s="10"/>
      <c r="F11" s="10"/>
      <c r="G11" s="10"/>
      <c r="H11" s="11"/>
    </row>
    <row r="12" spans="1:8">
      <c r="D12" s="9"/>
      <c r="E12" s="10"/>
      <c r="F12" s="10"/>
      <c r="G12" s="10"/>
      <c r="H12" s="11"/>
    </row>
    <row r="13" spans="1:8">
      <c r="D13" s="9"/>
      <c r="E13" s="10"/>
      <c r="F13" s="10"/>
      <c r="G13" s="10"/>
      <c r="H13" s="11"/>
    </row>
    <row r="14" spans="1:8">
      <c r="D14" s="9"/>
      <c r="E14" s="10"/>
      <c r="F14" s="10"/>
      <c r="G14" s="10"/>
      <c r="H14" s="11"/>
    </row>
    <row r="15" spans="1:8">
      <c r="D15" s="9"/>
      <c r="E15" s="10"/>
      <c r="F15" s="10"/>
      <c r="G15" s="10"/>
      <c r="H15" s="11"/>
    </row>
    <row r="16" spans="1:8">
      <c r="D16" s="9"/>
      <c r="E16" s="10"/>
      <c r="F16" s="10"/>
      <c r="G16" s="10"/>
      <c r="H16" s="11"/>
    </row>
    <row r="17" spans="4:8">
      <c r="D17" s="9"/>
      <c r="E17" s="10"/>
      <c r="F17" s="10"/>
      <c r="G17" s="10"/>
      <c r="H17" s="11"/>
    </row>
    <row r="18" spans="4:8">
      <c r="D18" s="9"/>
      <c r="E18" s="10"/>
      <c r="F18" s="10"/>
      <c r="G18" s="10"/>
      <c r="H18" s="11"/>
    </row>
    <row r="19" spans="4:8">
      <c r="D19" s="9"/>
      <c r="E19" s="10"/>
      <c r="F19" s="10"/>
      <c r="G19" s="10"/>
      <c r="H19" s="11"/>
    </row>
    <row r="20" spans="4:8">
      <c r="D20" s="9"/>
      <c r="E20" s="10"/>
      <c r="F20" s="10"/>
      <c r="G20" s="10"/>
      <c r="H20" s="11"/>
    </row>
    <row r="21" spans="4:8">
      <c r="D21" s="9"/>
      <c r="E21" s="10"/>
      <c r="F21" s="10"/>
      <c r="G21" s="10"/>
      <c r="H21" s="11"/>
    </row>
    <row r="22" spans="4:8">
      <c r="D22" s="9"/>
      <c r="E22" s="10"/>
      <c r="F22" s="10"/>
      <c r="G22" s="10"/>
      <c r="H22" s="11"/>
    </row>
    <row r="23" spans="4:8">
      <c r="D23" s="9"/>
      <c r="E23" s="10"/>
      <c r="F23" s="10"/>
      <c r="G23" s="10"/>
      <c r="H23" s="11"/>
    </row>
    <row r="24" spans="4:8">
      <c r="D24" s="9"/>
      <c r="E24" s="10"/>
      <c r="F24" s="10"/>
      <c r="G24" s="10"/>
      <c r="H24" s="11"/>
    </row>
    <row r="25" spans="4:8">
      <c r="D25" s="9"/>
      <c r="E25" s="10"/>
      <c r="F25" s="10"/>
      <c r="G25" s="10"/>
      <c r="H25" s="11"/>
    </row>
    <row r="26" spans="4:8" ht="18.600000000000001" thickBot="1">
      <c r="D26" s="12"/>
      <c r="E26" s="13"/>
      <c r="F26" s="13"/>
      <c r="G26" s="13"/>
      <c r="H26" s="14"/>
    </row>
  </sheetData>
  <mergeCells count="1">
    <mergeCell ref="D3:H26"/>
  </mergeCells>
  <phoneticPr fontId="1"/>
  <hyperlinks>
    <hyperlink ref="A4" r:id="rId1" xr:uid="{00000000-0004-0000-0200-000000000000}"/>
  </hyperlinks>
  <pageMargins left="0.7" right="0.7" top="0.75" bottom="0.75" header="0.3" footer="0.3"/>
  <pageSetup paperSize="9" orientation="portrait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2066" r:id="rId5" name="CommandButton12">
          <controlPr defaultSize="0" autoLine="0" r:id="rId6">
            <anchor moveWithCells="1">
              <from>
                <xdr:col>8</xdr:col>
                <xdr:colOff>228600</xdr:colOff>
                <xdr:row>7</xdr:row>
                <xdr:rowOff>152400</xdr:rowOff>
              </from>
              <to>
                <xdr:col>9</xdr:col>
                <xdr:colOff>480060</xdr:colOff>
                <xdr:row>9</xdr:row>
                <xdr:rowOff>114300</xdr:rowOff>
              </to>
            </anchor>
          </controlPr>
        </control>
      </mc:Choice>
      <mc:Fallback>
        <control shapeId="2066" r:id="rId5" name="CommandButton12"/>
      </mc:Fallback>
    </mc:AlternateContent>
    <mc:AlternateContent xmlns:mc="http://schemas.openxmlformats.org/markup-compatibility/2006">
      <mc:Choice Requires="x14">
        <control shapeId="2065" r:id="rId7" name="CommandButton11">
          <controlPr defaultSize="0" autoLine="0" r:id="rId8">
            <anchor moveWithCells="1">
              <from>
                <xdr:col>8</xdr:col>
                <xdr:colOff>228600</xdr:colOff>
                <xdr:row>10</xdr:row>
                <xdr:rowOff>53340</xdr:rowOff>
              </from>
              <to>
                <xdr:col>9</xdr:col>
                <xdr:colOff>480060</xdr:colOff>
                <xdr:row>12</xdr:row>
                <xdr:rowOff>22860</xdr:rowOff>
              </to>
            </anchor>
          </controlPr>
        </control>
      </mc:Choice>
      <mc:Fallback>
        <control shapeId="2065" r:id="rId7" name="CommandButton11"/>
      </mc:Fallback>
    </mc:AlternateContent>
    <mc:AlternateContent xmlns:mc="http://schemas.openxmlformats.org/markup-compatibility/2006">
      <mc:Choice Requires="x14">
        <control shapeId="2064" r:id="rId9" name="CommandButton10">
          <controlPr defaultSize="0" autoLine="0" r:id="rId10">
            <anchor moveWithCells="1">
              <from>
                <xdr:col>8</xdr:col>
                <xdr:colOff>220980</xdr:colOff>
                <xdr:row>13</xdr:row>
                <xdr:rowOff>7620</xdr:rowOff>
              </from>
              <to>
                <xdr:col>9</xdr:col>
                <xdr:colOff>472440</xdr:colOff>
                <xdr:row>14</xdr:row>
                <xdr:rowOff>205740</xdr:rowOff>
              </to>
            </anchor>
          </controlPr>
        </control>
      </mc:Choice>
      <mc:Fallback>
        <control shapeId="2064" r:id="rId9" name="CommandButton10"/>
      </mc:Fallback>
    </mc:AlternateContent>
    <mc:AlternateContent xmlns:mc="http://schemas.openxmlformats.org/markup-compatibility/2006">
      <mc:Choice Requires="x14">
        <control shapeId="2063" r:id="rId11" name="CommandButton9">
          <controlPr defaultSize="0" autoLine="0" r:id="rId12">
            <anchor moveWithCells="1">
              <from>
                <xdr:col>8</xdr:col>
                <xdr:colOff>205740</xdr:colOff>
                <xdr:row>15</xdr:row>
                <xdr:rowOff>198120</xdr:rowOff>
              </from>
              <to>
                <xdr:col>9</xdr:col>
                <xdr:colOff>457200</xdr:colOff>
                <xdr:row>17</xdr:row>
                <xdr:rowOff>167640</xdr:rowOff>
              </to>
            </anchor>
          </controlPr>
        </control>
      </mc:Choice>
      <mc:Fallback>
        <control shapeId="2063" r:id="rId11" name="CommandButton9"/>
      </mc:Fallback>
    </mc:AlternateContent>
    <mc:AlternateContent xmlns:mc="http://schemas.openxmlformats.org/markup-compatibility/2006">
      <mc:Choice Requires="x14">
        <control shapeId="2062" r:id="rId13" name="CommandButton8">
          <controlPr defaultSize="0" autoLine="0" r:id="rId14">
            <anchor moveWithCells="1">
              <from>
                <xdr:col>10</xdr:col>
                <xdr:colOff>53340</xdr:colOff>
                <xdr:row>5</xdr:row>
                <xdr:rowOff>7620</xdr:rowOff>
              </from>
              <to>
                <xdr:col>11</xdr:col>
                <xdr:colOff>304800</xdr:colOff>
                <xdr:row>6</xdr:row>
                <xdr:rowOff>198120</xdr:rowOff>
              </to>
            </anchor>
          </controlPr>
        </control>
      </mc:Choice>
      <mc:Fallback>
        <control shapeId="2062" r:id="rId13" name="CommandButton8"/>
      </mc:Fallback>
    </mc:AlternateContent>
    <mc:AlternateContent xmlns:mc="http://schemas.openxmlformats.org/markup-compatibility/2006">
      <mc:Choice Requires="x14">
        <control shapeId="2061" r:id="rId15" name="CommandButton7">
          <controlPr defaultSize="0" autoLine="0" r:id="rId16">
            <anchor moveWithCells="1">
              <from>
                <xdr:col>10</xdr:col>
                <xdr:colOff>45720</xdr:colOff>
                <xdr:row>2</xdr:row>
                <xdr:rowOff>60960</xdr:rowOff>
              </from>
              <to>
                <xdr:col>11</xdr:col>
                <xdr:colOff>297180</xdr:colOff>
                <xdr:row>4</xdr:row>
                <xdr:rowOff>22860</xdr:rowOff>
              </to>
            </anchor>
          </controlPr>
        </control>
      </mc:Choice>
      <mc:Fallback>
        <control shapeId="2061" r:id="rId15" name="CommandButton7"/>
      </mc:Fallback>
    </mc:AlternateContent>
    <mc:AlternateContent xmlns:mc="http://schemas.openxmlformats.org/markup-compatibility/2006">
      <mc:Choice Requires="x14">
        <control shapeId="2060" r:id="rId17" name="CommandButton6">
          <controlPr defaultSize="0" autoLine="0" r:id="rId18">
            <anchor moveWithCells="1">
              <from>
                <xdr:col>10</xdr:col>
                <xdr:colOff>68580</xdr:colOff>
                <xdr:row>15</xdr:row>
                <xdr:rowOff>198120</xdr:rowOff>
              </from>
              <to>
                <xdr:col>11</xdr:col>
                <xdr:colOff>320040</xdr:colOff>
                <xdr:row>17</xdr:row>
                <xdr:rowOff>167640</xdr:rowOff>
              </to>
            </anchor>
          </controlPr>
        </control>
      </mc:Choice>
      <mc:Fallback>
        <control shapeId="2060" r:id="rId17" name="CommandButton6"/>
      </mc:Fallback>
    </mc:AlternateContent>
    <mc:AlternateContent xmlns:mc="http://schemas.openxmlformats.org/markup-compatibility/2006">
      <mc:Choice Requires="x14">
        <control shapeId="2059" r:id="rId19" name="CommandButton5">
          <controlPr defaultSize="0" autoLine="0" r:id="rId20">
            <anchor moveWithCells="1">
              <from>
                <xdr:col>10</xdr:col>
                <xdr:colOff>30480</xdr:colOff>
                <xdr:row>13</xdr:row>
                <xdr:rowOff>7620</xdr:rowOff>
              </from>
              <to>
                <xdr:col>11</xdr:col>
                <xdr:colOff>281940</xdr:colOff>
                <xdr:row>14</xdr:row>
                <xdr:rowOff>205740</xdr:rowOff>
              </to>
            </anchor>
          </controlPr>
        </control>
      </mc:Choice>
      <mc:Fallback>
        <control shapeId="2059" r:id="rId19" name="CommandButton5"/>
      </mc:Fallback>
    </mc:AlternateContent>
    <mc:AlternateContent xmlns:mc="http://schemas.openxmlformats.org/markup-compatibility/2006">
      <mc:Choice Requires="x14">
        <control shapeId="2058" r:id="rId21" name="CommandButton4">
          <controlPr defaultSize="0" autoLine="0" r:id="rId22">
            <anchor moveWithCells="1">
              <from>
                <xdr:col>10</xdr:col>
                <xdr:colOff>15240</xdr:colOff>
                <xdr:row>10</xdr:row>
                <xdr:rowOff>83820</xdr:rowOff>
              </from>
              <to>
                <xdr:col>11</xdr:col>
                <xdr:colOff>266700</xdr:colOff>
                <xdr:row>12</xdr:row>
                <xdr:rowOff>53340</xdr:rowOff>
              </to>
            </anchor>
          </controlPr>
        </control>
      </mc:Choice>
      <mc:Fallback>
        <control shapeId="2058" r:id="rId21" name="CommandButton4"/>
      </mc:Fallback>
    </mc:AlternateContent>
    <mc:AlternateContent xmlns:mc="http://schemas.openxmlformats.org/markup-compatibility/2006">
      <mc:Choice Requires="x14">
        <control shapeId="2057" r:id="rId23" name="CommandButton3">
          <controlPr defaultSize="0" autoLine="0" r:id="rId24">
            <anchor moveWithCells="1">
              <from>
                <xdr:col>8</xdr:col>
                <xdr:colOff>205740</xdr:colOff>
                <xdr:row>5</xdr:row>
                <xdr:rowOff>15240</xdr:rowOff>
              </from>
              <to>
                <xdr:col>9</xdr:col>
                <xdr:colOff>457200</xdr:colOff>
                <xdr:row>6</xdr:row>
                <xdr:rowOff>205740</xdr:rowOff>
              </to>
            </anchor>
          </controlPr>
        </control>
      </mc:Choice>
      <mc:Fallback>
        <control shapeId="2057" r:id="rId23" name="CommandButton3"/>
      </mc:Fallback>
    </mc:AlternateContent>
    <mc:AlternateContent xmlns:mc="http://schemas.openxmlformats.org/markup-compatibility/2006">
      <mc:Choice Requires="x14">
        <control shapeId="2056" r:id="rId25" name="CommandButton2">
          <controlPr defaultSize="0" autoLine="0" r:id="rId26">
            <anchor moveWithCells="1">
              <from>
                <xdr:col>10</xdr:col>
                <xdr:colOff>7620</xdr:colOff>
                <xdr:row>7</xdr:row>
                <xdr:rowOff>198120</xdr:rowOff>
              </from>
              <to>
                <xdr:col>11</xdr:col>
                <xdr:colOff>259080</xdr:colOff>
                <xdr:row>9</xdr:row>
                <xdr:rowOff>160020</xdr:rowOff>
              </to>
            </anchor>
          </controlPr>
        </control>
      </mc:Choice>
      <mc:Fallback>
        <control shapeId="2056" r:id="rId25" name="CommandButton2"/>
      </mc:Fallback>
    </mc:AlternateContent>
    <mc:AlternateContent xmlns:mc="http://schemas.openxmlformats.org/markup-compatibility/2006">
      <mc:Choice Requires="x14">
        <control shapeId="2055" r:id="rId27" name="CommandButton1">
          <controlPr defaultSize="0" autoLine="0" autoPict="0" r:id="rId28">
            <anchor moveWithCells="1">
              <from>
                <xdr:col>8</xdr:col>
                <xdr:colOff>220980</xdr:colOff>
                <xdr:row>2</xdr:row>
                <xdr:rowOff>38100</xdr:rowOff>
              </from>
              <to>
                <xdr:col>9</xdr:col>
                <xdr:colOff>457200</xdr:colOff>
                <xdr:row>4</xdr:row>
                <xdr:rowOff>45720</xdr:rowOff>
              </to>
            </anchor>
          </controlPr>
        </control>
      </mc:Choice>
      <mc:Fallback>
        <control shapeId="2055" r:id="rId2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tabSelected="1" workbookViewId="0">
      <selection activeCell="H12" sqref="H12"/>
    </sheetView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0</xdr:col>
                <xdr:colOff>243840</xdr:colOff>
                <xdr:row>0</xdr:row>
                <xdr:rowOff>175260</xdr:rowOff>
              </from>
              <to>
                <xdr:col>2</xdr:col>
                <xdr:colOff>190500</xdr:colOff>
                <xdr:row>3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"/>
  <sheetViews>
    <sheetView workbookViewId="0"/>
  </sheetViews>
  <sheetFormatPr defaultRowHeight="18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autoPict="0" r:id="rId4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"/>
  <sheetViews>
    <sheetView workbookViewId="0"/>
  </sheetViews>
  <sheetFormatPr defaultRowHeight="18"/>
  <sheetData/>
  <phoneticPr fontId="1"/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autoPict="0" r:id="rId5">
            <anchor moveWithCells="1">
              <from>
                <xdr:col>0</xdr:col>
                <xdr:colOff>205740</xdr:colOff>
                <xdr:row>0</xdr:row>
                <xdr:rowOff>68580</xdr:rowOff>
              </from>
              <to>
                <xdr:col>2</xdr:col>
                <xdr:colOff>152400</xdr:colOff>
                <xdr:row>2</xdr:row>
                <xdr:rowOff>121920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マクロの操作</vt:lpstr>
      <vt:lpstr>マクロ課題</vt:lpstr>
      <vt:lpstr>マクロ参考</vt:lpstr>
      <vt:lpstr>VBA課題</vt:lpstr>
      <vt:lpstr>list</vt:lpstr>
      <vt:lpstr>MP</vt:lpstr>
      <vt:lpstr>Index</vt:lpstr>
      <vt:lpstr>vba1</vt:lpstr>
      <vt:lpstr>vba2</vt:lpstr>
      <vt:lpstr>vba3</vt:lpstr>
      <vt:lpstr>vba4</vt:lpstr>
      <vt:lpstr>vba5</vt:lpstr>
      <vt:lpstr>vba6</vt:lpstr>
      <vt:lpstr>vba7</vt:lpstr>
      <vt:lpstr>vba8</vt:lpstr>
      <vt:lpstr>vba9</vt:lpstr>
      <vt:lpstr>vba10</vt:lpstr>
      <vt:lpstr>vba11</vt:lpstr>
      <vt:lpstr>vba12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ei2031</dc:creator>
  <cp:lastModifiedBy>MAKOTO PC</cp:lastModifiedBy>
  <cp:lastPrinted>2021-04-21T05:11:29Z</cp:lastPrinted>
  <dcterms:created xsi:type="dcterms:W3CDTF">2021-04-21T05:11:24Z</dcterms:created>
  <dcterms:modified xsi:type="dcterms:W3CDTF">2021-04-21T15:06:00Z</dcterms:modified>
</cp:coreProperties>
</file>